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oschanan\Downloads\"/>
    </mc:Choice>
  </mc:AlternateContent>
  <xr:revisionPtr revIDLastSave="0" documentId="13_ncr:1_{51F586A4-C0A9-4D70-9822-D296BF9F05A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Gantt Chart" sheetId="1" r:id="rId1"/>
    <sheet name="สรุปงวดส่งมอบ" sheetId="2" r:id="rId2"/>
    <sheet name="ข้อมูล WBS" sheetId="3" r:id="rId3"/>
  </sheets>
  <definedNames>
    <definedName name="_xlnm._FilterDatabase" localSheetId="2" hidden="1">'ข้อมูล WBS'!$A$1:$L$43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7" i="2" l="1"/>
  <c r="D17" i="2" s="1"/>
  <c r="E17" i="2" s="1"/>
  <c r="B17" i="2"/>
  <c r="C16" i="2"/>
  <c r="D16" i="2" s="1"/>
  <c r="E16" i="2" s="1"/>
  <c r="B16" i="2"/>
  <c r="C15" i="2"/>
  <c r="D15" i="2" s="1"/>
  <c r="B15" i="2"/>
  <c r="C14" i="2"/>
  <c r="C18" i="2" s="1"/>
  <c r="B14" i="2"/>
  <c r="B18" i="2" s="1"/>
  <c r="F10" i="2"/>
  <c r="H9" i="2"/>
  <c r="G9" i="2"/>
  <c r="H8" i="2"/>
  <c r="G8" i="2"/>
  <c r="H7" i="2"/>
  <c r="G7" i="2"/>
  <c r="H6" i="2"/>
  <c r="G6" i="2"/>
  <c r="H5" i="2"/>
  <c r="H10" i="2" s="1"/>
  <c r="G5" i="2"/>
  <c r="G10" i="2" s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3" i="1"/>
  <c r="F12" i="1"/>
  <c r="F11" i="1"/>
  <c r="F10" i="1"/>
  <c r="F9" i="1"/>
  <c r="F8" i="1"/>
  <c r="F7" i="1"/>
  <c r="F6" i="1"/>
  <c r="D18" i="2" l="1"/>
  <c r="D14" i="2"/>
  <c r="E14" i="2" s="1"/>
</calcChain>
</file>

<file path=xl/sharedStrings.xml><?xml version="1.0" encoding="utf-8"?>
<sst xmlns="http://schemas.openxmlformats.org/spreadsheetml/2006/main" count="432" uniqueCount="244">
  <si>
    <t>Gantt Chart — Cybersecurity Learning Game</t>
  </si>
  <si>
    <t>แผนดำเนินโครงการ (ปรับปรุง 24 ก.ย. 2569)  ·  สีแท่ง = งวดงาน  ·  แถวตัวหนา = งานหลัก (Phase)  ·  ◆ = Milestone  ·  ★ = กิจกรรมพิเศษ</t>
  </si>
  <si>
    <t>รายละเอียดงาน (Task Details)</t>
  </si>
  <si>
    <t>งวด 1</t>
  </si>
  <si>
    <t>งวด 2</t>
  </si>
  <si>
    <t>งวด 3</t>
  </si>
  <si>
    <t>งวด 4A ตัวเกม</t>
  </si>
  <si>
    <t>งวด 4B รูปเล่ม</t>
  </si>
  <si>
    <t>พัก/สำรอง</t>
  </si>
  <si>
    <t>No.</t>
  </si>
  <si>
    <t>Task/Activity</t>
  </si>
  <si>
    <t>Assignee</t>
  </si>
  <si>
    <t>Start Date</t>
  </si>
  <si>
    <t>End Date</t>
  </si>
  <si>
    <t>Duration
(Days)</t>
  </si>
  <si>
    <t>W1
8 ก.ย.</t>
  </si>
  <si>
    <t>W2
15 ก.ย.</t>
  </si>
  <si>
    <t>W3
22 ก.ย.</t>
  </si>
  <si>
    <t>W4
29 ก.ย.</t>
  </si>
  <si>
    <t>W5
6 ต.ค.</t>
  </si>
  <si>
    <t>W6
13 ต.ค.</t>
  </si>
  <si>
    <t>W7
20 ต.ค.</t>
  </si>
  <si>
    <t>W8
27 ต.ค.</t>
  </si>
  <si>
    <t>W9
3 พ.ย.</t>
  </si>
  <si>
    <t>W10
10 พ.ย.</t>
  </si>
  <si>
    <t>W11
17 พ.ย.</t>
  </si>
  <si>
    <t>W12
24 พ.ย.</t>
  </si>
  <si>
    <t>W13
1 ธ.ค.</t>
  </si>
  <si>
    <t>W14
8 ธ.ค.</t>
  </si>
  <si>
    <t>W15
15 ธ.ค.</t>
  </si>
  <si>
    <t>W16
22 ธ.ค.</t>
  </si>
  <si>
    <t>W17
29 ธ.ค.</t>
  </si>
  <si>
    <t>W18
5 ม.ค.</t>
  </si>
  <si>
    <t>W19
12 ม.ค.</t>
  </si>
  <si>
    <t>W20
19 ม.ค.</t>
  </si>
  <si>
    <t>เป้าหมายหลักของโครงการ (Key Milestones)</t>
  </si>
  <si>
    <t>M1</t>
  </si>
  <si>
    <t>◆ เอกสารการศึกษาและแผนโครงการเสร็จ (จบงวด 1)</t>
  </si>
  <si>
    <t>◆</t>
  </si>
  <si>
    <t>★</t>
  </si>
  <si>
    <t>★ นำเสนองาน (นำเสนอผลงวด 1) — เสร็จแล้ว</t>
  </si>
  <si>
    <t>★ นำเสนอสโคปเนื้อเรื่อง/ทางเลือก/ผลลัพธ์ (งวด 2)</t>
  </si>
  <si>
    <t>M2</t>
  </si>
  <si>
    <t>◆ เอกสารออกแบบ แผนประเมิน และต้นแบบเสร็จ (จบงวด 2)</t>
  </si>
  <si>
    <t>★ นำเสนอความคืบหน้างวด 3 (ตรวจสอบเนื้อหา/พัฒนาเกม)</t>
  </si>
  <si>
    <t>M3</t>
  </si>
  <si>
    <t>◆ เกมต้นแบบผ่านการตรวจเนื้อหาเสร็จ (จบงวด 3)</t>
  </si>
  <si>
    <t>M4</t>
  </si>
  <si>
    <t>◆ เกมเสร็จสมบูรณ์ (จบงวด 4A ตัวเกม)</t>
  </si>
  <si>
    <t>M5</t>
  </si>
  <si>
    <t>◆ ส่งมอบรูปเล่ม (จบงวด 4B)</t>
  </si>
  <si>
    <t>รายละเอียดงานตามโครงสร้าง WBS (Work Breakdown Structure)</t>
  </si>
  <si>
    <t>1</t>
  </si>
  <si>
    <t>การศึกษาและวางแผนโครงการ</t>
  </si>
  <si>
    <t>1.1</t>
  </si>
  <si>
    <t>ศึกษากลุ่มเป้าหมาย (ม.ปลาย/อุดมศึกษา)</t>
  </si>
  <si>
    <t>1.2</t>
  </si>
  <si>
    <t>ศึกษาปัญหาและพฤติกรรมด้านความปลอดภัยทางไซเบอร์</t>
  </si>
  <si>
    <t>1.3</t>
  </si>
  <si>
    <t>วิเคราะห์และกำหนดขอบเขตเนื้อหา Cybersecurity</t>
  </si>
  <si>
    <t>1.4</t>
  </si>
  <si>
    <t>กำหนดวัตถุประสงค์และผลลัพธ์การเรียนรู้</t>
  </si>
  <si>
    <t>1.5</t>
  </si>
  <si>
    <t>กำหนดขอบเขต คุณลักษณะเกม และแผนดำเนินงาน</t>
  </si>
  <si>
    <t>1.6</t>
  </si>
  <si>
    <t>จัดทำแผนการวัดและประเมินผลการเรียนรู้</t>
  </si>
  <si>
    <t>2</t>
  </si>
  <si>
    <t>การวิเคราะห์และออกแบบเกมและการประเมินผล</t>
  </si>
  <si>
    <t>2.1</t>
  </si>
  <si>
    <t>ออกแบบโครงสร้างและลำดับเนื้อเรื่อง</t>
  </si>
  <si>
    <t>2.2</t>
  </si>
  <si>
    <t>ออกแบบสถานการณ์ด้านความปลอดภัยทางไซเบอร์</t>
  </si>
  <si>
    <t>2.3</t>
  </si>
  <si>
    <t>ออกแบบทางเลือกและผลกระทบจากการตัดสินใจ</t>
  </si>
  <si>
    <t>2.4</t>
  </si>
  <si>
    <t>ออกแบบตัวละครและบทบาท</t>
  </si>
  <si>
    <t>2.5</t>
  </si>
  <si>
    <t>ออกแบบกลไกการเล่นเกมและระบบที่เกี่ยวข้อง</t>
  </si>
  <si>
    <t>2.6</t>
  </si>
  <si>
    <t>ออกแบบ UI/UX</t>
  </si>
  <si>
    <t>2.7</t>
  </si>
  <si>
    <t>ตารางเชื่อมโยงเนื้อหา–วัตถุประสงค์–กิจกรรม</t>
  </si>
  <si>
    <t>2.8</t>
  </si>
  <si>
    <t>พัฒนาเครื่องมือ Pre-test / Post-test</t>
  </si>
  <si>
    <t>2.9</t>
  </si>
  <si>
    <t>วางแผนและออกแบบการเก็บ Game Analytics</t>
  </si>
  <si>
    <t>2.10</t>
  </si>
  <si>
    <t>จัดทำแผนตรวจสอบความตรงเชิงเนื้อหา</t>
  </si>
  <si>
    <t>2.11</t>
  </si>
  <si>
    <t>จัดทำต้นแบบเกม</t>
  </si>
  <si>
    <t>3</t>
  </si>
  <si>
    <t>การตรวจสอบเนื้อหาและพัฒนาเกม</t>
  </si>
  <si>
    <t>3.1</t>
  </si>
  <si>
    <t>ตรวจสอบเนื้อหาโดยผู้เชี่ยวชาญ (Content Validation)</t>
  </si>
  <si>
    <t>3.2</t>
  </si>
  <si>
    <t>พัฒนาระบบหลักของเกม</t>
  </si>
  <si>
    <t>3.7</t>
  </si>
  <si>
    <t>พัฒนาตัวละคร ฉาก องค์ประกอบภาพ</t>
  </si>
  <si>
    <t>3.3</t>
  </si>
  <si>
    <t>พัฒนาระบบบทสนทนาและการดำเนินเรื่อง</t>
  </si>
  <si>
    <t>3.8</t>
  </si>
  <si>
    <t>จัดทำเสียงและสื่อประกอบ</t>
  </si>
  <si>
    <t>3.4</t>
  </si>
  <si>
    <t>พัฒนาระบบทางเลือกและผลลัพธ์การตัดสินใจ</t>
  </si>
  <si>
    <t>3.6</t>
  </si>
  <si>
    <t>นำเนื้อหา Cybersecurity เข้าสู่เกม</t>
  </si>
  <si>
    <t>3.5</t>
  </si>
  <si>
    <t>พัฒนาระบบบันทึก Game Analytics</t>
  </si>
  <si>
    <t>3.9</t>
  </si>
  <si>
    <t>บูรณาการและทดสอบระบบภายใน</t>
  </si>
  <si>
    <t>4</t>
  </si>
  <si>
    <t>การทดลองใช้ การวัดประเมินผล และการปรับปรุง</t>
  </si>
  <si>
    <t>4.1</t>
  </si>
  <si>
    <t>ดำเนินการ Pre-test</t>
  </si>
  <si>
    <t>4.2</t>
  </si>
  <si>
    <t>ทดลองใช้เกมและเก็บ Game Analytics</t>
  </si>
  <si>
    <t>4.3</t>
  </si>
  <si>
    <t>ดำเนินการ Post-test</t>
  </si>
  <si>
    <t>4.5</t>
  </si>
  <si>
    <t>วิเคราะห์ข้อมูล Game Analytics</t>
  </si>
  <si>
    <t>4.6</t>
  </si>
  <si>
    <t>วิเคราะห์การใช้งานและข้อเสนอแนะ</t>
  </si>
  <si>
    <t>4.4</t>
  </si>
  <si>
    <t>วิเคราะห์ผล Pre/Post-test</t>
  </si>
  <si>
    <t>4.7</t>
  </si>
  <si>
    <t>ปรับปรุงเกมตามผลการทดลอง</t>
  </si>
  <si>
    <t>5</t>
  </si>
  <si>
    <t>การจัดทำเอกสารและส่งมอบ</t>
  </si>
  <si>
    <t>5.1</t>
  </si>
  <si>
    <t>จัดทำเกมฉบับสมบูรณ์และ QA ขั้นสุดท้าย</t>
  </si>
  <si>
    <t>5.2</t>
  </si>
  <si>
    <t>จัดทำคู่มือ เอกสาร และรายงานผลดำเนินงาน</t>
  </si>
  <si>
    <t>5.3</t>
  </si>
  <si>
    <t>จัดทำรายงานผลการวัดและประเมินผล</t>
  </si>
  <si>
    <t>5.4</t>
  </si>
  <si>
    <t>นำเสนอและส่งมอบผลงาน</t>
  </si>
  <si>
    <t>คำอธิบายสี (Legend)</t>
  </si>
  <si>
    <t>งวด 1 — การศึกษาและวางแผนโครงการ (W1–W3)</t>
  </si>
  <si>
    <t>งวด 2 — การวิเคราะห์และออกแบบเกมและการประเมินผล (W3–W6)</t>
  </si>
  <si>
    <t>งวด 3 — การตรวจสอบเนื้อหาและพัฒนาเกม (W5–W9)</t>
  </si>
  <si>
    <t>งวด 4A/4B — ทดลองใช้ ปรับปรุง และจัดทำรูปเล่ม (W10–W20)</t>
  </si>
  <si>
    <t>ช่วงพัก/สำรอง — W16, W18–W19 (ห้ามมีงาน)</t>
  </si>
  <si>
    <t>สรุปงวดส่งมอบ — Cybersecurity Learning Game</t>
  </si>
  <si>
    <t>คอลัมน์ 'จำนวนงานย่อย' และ '% งานย่อยรวม' คำนวณด้วยสูตร COUNTIFS/SUMIFS จาก sheet 'ข้อมูล WBS' (อัปเดตอัตโนมัติเมื่อแก้ข้อมูล) | ปรับแผนใหม่: เกมเสร็จสมบูรณ์ภายใน W13 (7 ธ.ค. 69) ตัวเล่มส่งมอบ W20 (25 ม.ค. 70)</t>
  </si>
  <si>
    <t>ช่วงงวด</t>
  </si>
  <si>
    <t>ขอบเขตงาน</t>
  </si>
  <si>
    <t>สัปดาห์</t>
  </si>
  <si>
    <t>วันที่เริ่ม</t>
  </si>
  <si>
    <t>วันที่สิ้นสุด</t>
  </si>
  <si>
    <t>จำนวนสัปดาห์
(ตามกรอบ)</t>
  </si>
  <si>
    <t>จำนวน
งานย่อย</t>
  </si>
  <si>
    <t>% งานย่อยรวม</t>
  </si>
  <si>
    <t>Milestone</t>
  </si>
  <si>
    <t>สิ่งส่งมอบหลัก</t>
  </si>
  <si>
    <t>การศึกษาและวางแผนโครงการ (งานหลัก 1)</t>
  </si>
  <si>
    <t>W1–W3</t>
  </si>
  <si>
    <t>8 ก.ย. 69</t>
  </si>
  <si>
    <t>28 ก.ย. 69</t>
  </si>
  <si>
    <t>◆ M1 (W3)</t>
  </si>
  <si>
    <t>เอกสารการศึกษาและแผนโครงการ</t>
  </si>
  <si>
    <t>การวิเคราะห์และออกแบบเกมและการประเมินผล (งานหลัก 2)</t>
  </si>
  <si>
    <t>W3–W6</t>
  </si>
  <si>
    <t>22 ก.ย. 69</t>
  </si>
  <si>
    <t>19 ต.ค. 69</t>
  </si>
  <si>
    <t>◆ M2 (W6)</t>
  </si>
  <si>
    <t>เอกสารออกแบบ แผนประเมิน ต้นแบบ</t>
  </si>
  <si>
    <t>การตรวจสอบเนื้อหาและพัฒนาเกม (งานหลัก 3)</t>
  </si>
  <si>
    <t>W5–W9</t>
  </si>
  <si>
    <t>6 ต.ค. 69</t>
  </si>
  <si>
    <t>9 พ.ย. 69</t>
  </si>
  <si>
    <t>◆ M3 (W9)</t>
  </si>
  <si>
    <t>เกมต้นแบบที่ผ่านตรวจเนื้อหา</t>
  </si>
  <si>
    <t>งวด 4A</t>
  </si>
  <si>
    <t>ตัวเกม: ทดลองใช้/วัดประเมิน/ปรับปรุง (4.1–4.7) + เกมฉบับสมบูรณ์ (5.1)</t>
  </si>
  <si>
    <t>W10–W13</t>
  </si>
  <si>
    <t>10 พ.ย. 69</t>
  </si>
  <si>
    <t>7 ธ.ค. 69</t>
  </si>
  <si>
    <t>◆ M4 (W13) เกมเสร็จสมบูรณ์</t>
  </si>
  <si>
    <t>ผลการทดลอง เกมฉบับปรับปรุง และ Final Game</t>
  </si>
  <si>
    <t>งวด 4B</t>
  </si>
  <si>
    <t>รูปเล่ม: คู่มือ รายงาน และส่งมอบ (5.2–5.4)</t>
  </si>
  <si>
    <t>W14–W20 (มีพัก W16,W18–19)</t>
  </si>
  <si>
    <t>8 ธ.ค. 69</t>
  </si>
  <si>
    <t>25 ม.ค. 70</t>
  </si>
  <si>
    <t>◆ M5 (W20) ส่งมอบรูปเล่ม</t>
  </si>
  <si>
    <t>คู่มือและรายงาน / Assessment Report / Final Delivery</t>
  </si>
  <si>
    <t>รวม</t>
  </si>
  <si>
    <t>ทุกช่วงงวด (ไม่รวมช่วงพัก W16, W18–W19) — งวด 2/3 คาบเกี่ยวกันบางสัปดาห์เพราะเริ่มพัฒนาเกมคู่ขนานหลังพรีเซ็น 1 ต.ค.</t>
  </si>
  <si>
    <t>ตรวจสอบความสอดคล้องของ % (ตามงวดใน WBS: งวด 4 = 4A + 4B)</t>
  </si>
  <si>
    <t>งวด (WBS)</t>
  </si>
  <si>
    <t>% งานหลักตามแผน</t>
  </si>
  <si>
    <t>% ผลรวมงานย่อย</t>
  </si>
  <si>
    <t>ส่วนต่าง</t>
  </si>
  <si>
    <t>ผลการตรวจ</t>
  </si>
  <si>
    <t>รหัส WBS</t>
  </si>
  <si>
    <t>ระดับ</t>
  </si>
  <si>
    <t>รายละเอียดงาน</t>
  </si>
  <si>
    <t>%</t>
  </si>
  <si>
    <t>Deliverable</t>
  </si>
  <si>
    <t>สัปดาห์เริ่ม</t>
  </si>
  <si>
    <t>สัปดาห์จบ</t>
  </si>
  <si>
    <t>จำนวนสัปดาห์</t>
  </si>
  <si>
    <t>งานหลัก</t>
  </si>
  <si>
    <t>ย่อย</t>
  </si>
  <si>
    <t>ผลการศึกษากลุ่มเป้าหมาย</t>
  </si>
  <si>
    <t>ผลการวิเคราะห์ปัญหา</t>
  </si>
  <si>
    <t>กรอบเนื้อหา</t>
  </si>
  <si>
    <t>Learning Objectives/Outcomes</t>
  </si>
  <si>
    <t>ข้อกำหนดโครงการ</t>
  </si>
  <si>
    <t>Assessment Plan</t>
  </si>
  <si>
    <t>โครงสร้างเนื้อเรื่อง</t>
  </si>
  <si>
    <t>รายละเอียดสถานการณ์</t>
  </si>
  <si>
    <t>แผนผังทางเลือก</t>
  </si>
  <si>
    <t>รายละเอียดตัวละคร</t>
  </si>
  <si>
    <t>Game Design Document</t>
  </si>
  <si>
    <t>แบบร่าง UI/UX</t>
  </si>
  <si>
    <t>Content-to-LO Mapping</t>
  </si>
  <si>
    <t>แบบทดสอบ Pre/Post</t>
  </si>
  <si>
    <t>Analytics Specification</t>
  </si>
  <si>
    <t>Content Validation Plan</t>
  </si>
  <si>
    <t>Prototype</t>
  </si>
  <si>
    <t>ผลการตรวจสอบเนื้อหา</t>
  </si>
  <si>
    <t>ระบบเกม</t>
  </si>
  <si>
    <t>Graphics/Assets</t>
  </si>
  <si>
    <t>Dialogue System</t>
  </si>
  <si>
    <t>Audio/Media Assets</t>
  </si>
  <si>
    <t>Choice/Decision System</t>
  </si>
  <si>
    <t>Cybersecurity Content</t>
  </si>
  <si>
    <t>Game Analytics System</t>
  </si>
  <si>
    <t>Playable Prototype</t>
  </si>
  <si>
    <t>ผลการทดลองและเกมฉบับปรับปรุง</t>
  </si>
  <si>
    <t>คะแนนก่อนเรียน</t>
  </si>
  <si>
    <t>ข้อมูลการเล่นเกม</t>
  </si>
  <si>
    <t>คะแนนหลังเรียน</t>
  </si>
  <si>
    <t>ผลวิเคราะห์ Analytics</t>
  </si>
  <si>
    <t>ผลการประเมินการใช้งาน</t>
  </si>
  <si>
    <t>ผลการวิเคราะห์ความรู้</t>
  </si>
  <si>
    <t>เกมฉบับปรับปรุง</t>
  </si>
  <si>
    <t>งวด 4A+4B</t>
  </si>
  <si>
    <t>เกมฉบับสมบูรณ์และรายงาน</t>
  </si>
  <si>
    <t>Final Game</t>
  </si>
  <si>
    <t>คู่มือและรายงาน</t>
  </si>
  <si>
    <t>Assessment Report</t>
  </si>
  <si>
    <t>Final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</si>
</sst>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งวด &quot;0"/>
    <numFmt numFmtId="165" formatCode="yyyy\-mm\-dd"/>
  </numFmts>
  <fonts count="22">
    <font>
      <sz val="11"/>
      <color theme="1"/>
      <name val="Calibri"/>
      <family val="2"/>
      <charset val="1"/>
    </font>
    <font>
      <b/>
      <sz val="20"/>
      <color rgb="FFFFFFFF"/>
      <name val="TH Sarabun New"/>
      <charset val="1"/>
    </font>
    <font>
      <i/>
      <sz val="12"/>
      <color rgb="FF595959"/>
      <name val="TH Sarabun New"/>
      <charset val="1"/>
    </font>
    <font>
      <b/>
      <sz val="11"/>
      <color rgb="FFFFFFFF"/>
      <name val="TH Sarabun New"/>
      <charset val="1"/>
    </font>
    <font>
      <b/>
      <sz val="10"/>
      <color rgb="FFFFFFFF"/>
      <name val="TH Sarabun New"/>
      <charset val="1"/>
    </font>
    <font>
      <b/>
      <sz val="12"/>
      <color rgb="FFFFFFFF"/>
      <name val="TH Sarabun New"/>
      <charset val="1"/>
    </font>
    <font>
      <b/>
      <sz val="9"/>
      <color rgb="FFFFFFFF"/>
      <name val="TH Sarabun New"/>
      <charset val="1"/>
    </font>
    <font>
      <b/>
      <sz val="11"/>
      <name val="TH Sarabun New"/>
      <charset val="1"/>
    </font>
    <font>
      <sz val="11"/>
      <name val="TH Sarabun New"/>
      <charset val="1"/>
    </font>
    <font>
      <b/>
      <sz val="12"/>
      <color rgb="FFC00000"/>
      <name val="TH Sarabun New"/>
      <charset val="1"/>
    </font>
    <font>
      <b/>
      <sz val="12"/>
      <color rgb="FFED7D31"/>
      <name val="TH Sarabun New"/>
      <charset val="1"/>
    </font>
    <font>
      <b/>
      <sz val="12"/>
      <name val="TH Sarabun New"/>
      <charset val="1"/>
    </font>
    <font>
      <i/>
      <sz val="11"/>
      <name val="TH Sarabun New"/>
      <charset val="1"/>
    </font>
    <font>
      <i/>
      <sz val="10"/>
      <color rgb="FF7F7F7F"/>
      <name val="TH Sarabun New"/>
      <charset val="1"/>
    </font>
    <font>
      <b/>
      <sz val="14"/>
      <color rgb="FF000000"/>
      <name val="Tahoma"/>
      <charset val="1"/>
    </font>
    <font>
      <i/>
      <sz val="9"/>
      <color rgb="FF595959"/>
      <name val="Tahoma"/>
      <charset val="1"/>
    </font>
    <font>
      <b/>
      <sz val="10"/>
      <color rgb="FFFFFFFF"/>
      <name val="Tahoma"/>
      <charset val="1"/>
    </font>
    <font>
      <sz val="10"/>
      <color rgb="FF000000"/>
      <name val="Tahoma"/>
      <charset val="1"/>
    </font>
    <font>
      <b/>
      <sz val="10"/>
      <color rgb="FF000000"/>
      <name val="Tahoma"/>
      <charset val="1"/>
    </font>
    <font>
      <b/>
      <sz val="11"/>
      <color rgb="FF000000"/>
      <name val="Tahoma"/>
      <charset val="1"/>
    </font>
    <font>
      <b/>
      <sz val="10"/>
      <color rgb="FFC00000"/>
      <name val="Tahoma"/>
      <charset val="1"/>
    </font>
    <font>
      <sz val="9"/>
      <color rgb="FF595959"/>
      <name val="Tahoma"/>
      <charset val="1"/>
    </font>
  </fonts>
  <fills count="27">
    <fill>
      <patternFill patternType="none"/>
    </fill>
    <fill>
      <patternFill patternType="gray125"/>
    </fill>
    <fill>
      <patternFill patternType="solid">
        <fgColor rgb="FF1F3864"/>
        <bgColor rgb="FF2F3B52"/>
      </patternFill>
    </fill>
    <fill>
      <patternFill patternType="solid">
        <fgColor rgb="FFF2F2F2"/>
        <bgColor rgb="FFEDEDED"/>
      </patternFill>
    </fill>
    <fill>
      <patternFill patternType="solid">
        <fgColor rgb="FF2C5F93"/>
        <bgColor rgb="FF4472C4"/>
      </patternFill>
    </fill>
    <fill>
      <patternFill patternType="solid">
        <fgColor rgb="FF2F7A47"/>
        <bgColor rgb="FF008080"/>
      </patternFill>
    </fill>
    <fill>
      <patternFill patternType="solid">
        <fgColor rgb="FFB2621A"/>
        <bgColor rgb="FFED7D31"/>
      </patternFill>
    </fill>
    <fill>
      <patternFill patternType="solid">
        <fgColor rgb="FF5E3F88"/>
        <bgColor rgb="FF595959"/>
      </patternFill>
    </fill>
    <fill>
      <patternFill patternType="solid">
        <fgColor rgb="FF9E9E9E"/>
        <bgColor rgb="FFB1A0CE"/>
      </patternFill>
    </fill>
    <fill>
      <patternFill patternType="solid">
        <fgColor rgb="FF4472C4"/>
        <bgColor rgb="FF4A90D9"/>
      </patternFill>
    </fill>
    <fill>
      <patternFill patternType="solid">
        <fgColor rgb="FFFFFFFF"/>
        <bgColor rgb="FFF2F2F2"/>
      </patternFill>
    </fill>
    <fill>
      <patternFill patternType="solid">
        <fgColor rgb="FFEDEDED"/>
        <bgColor rgb="FFF2F2F2"/>
      </patternFill>
    </fill>
    <fill>
      <patternFill patternType="solid">
        <fgColor rgb="FFDCE6F1"/>
        <bgColor rgb="FFDCE9F7"/>
      </patternFill>
    </fill>
    <fill>
      <patternFill patternType="solid">
        <fgColor rgb="FF8FB6E0"/>
        <bgColor rgb="FFB1A0CE"/>
      </patternFill>
    </fill>
    <fill>
      <patternFill patternType="solid">
        <fgColor rgb="FF8FCBA0"/>
        <bgColor rgb="FF8FB6E0"/>
      </patternFill>
    </fill>
    <fill>
      <patternFill patternType="solid">
        <fgColor rgb="FFE3A868"/>
        <bgColor rgb="FFE08B3C"/>
      </patternFill>
    </fill>
    <fill>
      <patternFill patternType="solid">
        <fgColor rgb="FFB1A0CE"/>
        <bgColor rgb="FF9E9E9E"/>
      </patternFill>
    </fill>
    <fill>
      <patternFill patternType="solid">
        <fgColor rgb="FF2F3B52"/>
        <bgColor rgb="FF1F3864"/>
      </patternFill>
    </fill>
    <fill>
      <patternFill patternType="solid">
        <fgColor rgb="FF4A90D9"/>
        <bgColor rgb="FF4472C4"/>
      </patternFill>
    </fill>
    <fill>
      <patternFill patternType="solid">
        <fgColor rgb="FF52A66B"/>
        <bgColor rgb="FF7F7F7F"/>
      </patternFill>
    </fill>
    <fill>
      <patternFill patternType="solid">
        <fgColor rgb="FFE08B3C"/>
        <bgColor rgb="FFED7D31"/>
      </patternFill>
    </fill>
    <fill>
      <patternFill patternType="solid">
        <fgColor rgb="FF8E6BB5"/>
        <bgColor rgb="FF7F7F7F"/>
      </patternFill>
    </fill>
    <fill>
      <patternFill patternType="solid">
        <fgColor rgb="FFDCE9F7"/>
        <bgColor rgb="FFDCE6F1"/>
      </patternFill>
    </fill>
    <fill>
      <patternFill patternType="solid">
        <fgColor rgb="FFDDF0E3"/>
        <bgColor rgb="FFDCE9F7"/>
      </patternFill>
    </fill>
    <fill>
      <patternFill patternType="solid">
        <fgColor rgb="FFFBE7D2"/>
        <bgColor rgb="FFFFF2CC"/>
      </patternFill>
    </fill>
    <fill>
      <patternFill patternType="solid">
        <fgColor rgb="FFE8DFF3"/>
        <bgColor rgb="FFDCE6F1"/>
      </patternFill>
    </fill>
    <fill>
      <patternFill patternType="solid">
        <fgColor theme="0"/>
        <bgColor rgb="FFFBE7D2"/>
      </patternFill>
    </fill>
  </fills>
  <borders count="4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3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1" fillId="3" borderId="0" xfId="0" applyFont="1" applyFill="1" applyAlignment="1">
      <alignment horizontal="left" vertical="center" indent="1"/>
    </xf>
    <xf numFmtId="0" fontId="5" fillId="9" borderId="1" xfId="0" applyFont="1" applyFill="1" applyBorder="1" applyAlignment="1">
      <alignment horizontal="left" vertical="center" indent="1"/>
    </xf>
    <xf numFmtId="0" fontId="4" fillId="8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left" vertical="center" indent="1"/>
    </xf>
    <xf numFmtId="15" fontId="7" fillId="10" borderId="2" xfId="0" applyNumberFormat="1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left" vertical="center"/>
    </xf>
    <xf numFmtId="15" fontId="7" fillId="12" borderId="2" xfId="0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left" vertical="center" indent="2"/>
    </xf>
    <xf numFmtId="15" fontId="8" fillId="10" borderId="2" xfId="0" applyNumberFormat="1" applyFont="1" applyFill="1" applyBorder="1" applyAlignment="1">
      <alignment horizontal="center" vertical="center"/>
    </xf>
    <xf numFmtId="0" fontId="8" fillId="13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14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16" borderId="2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8" fillId="6" borderId="0" xfId="0" applyFont="1" applyFill="1" applyAlignment="1">
      <alignment horizontal="left" vertical="center"/>
    </xf>
    <xf numFmtId="0" fontId="8" fillId="7" borderId="0" xfId="0" applyFont="1" applyFill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14" fillId="0" borderId="0" xfId="0" applyFont="1"/>
    <xf numFmtId="0" fontId="15" fillId="0" borderId="0" xfId="0" applyFont="1"/>
    <xf numFmtId="0" fontId="16" fillId="17" borderId="3" xfId="0" applyFont="1" applyFill="1" applyBorder="1" applyAlignment="1">
      <alignment horizontal="center" vertical="center" wrapText="1"/>
    </xf>
    <xf numFmtId="0" fontId="16" fillId="18" borderId="3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left" vertical="center"/>
    </xf>
    <xf numFmtId="0" fontId="16" fillId="19" borderId="3" xfId="0" applyFont="1" applyFill="1" applyBorder="1" applyAlignment="1">
      <alignment horizontal="center" vertical="center"/>
    </xf>
    <xf numFmtId="0" fontId="16" fillId="20" borderId="3" xfId="0" applyFont="1" applyFill="1" applyBorder="1" applyAlignment="1">
      <alignment horizontal="center" vertical="center"/>
    </xf>
    <xf numFmtId="0" fontId="16" fillId="21" borderId="3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left" vertical="center"/>
    </xf>
    <xf numFmtId="0" fontId="19" fillId="0" borderId="0" xfId="0" applyFont="1"/>
    <xf numFmtId="164" fontId="17" fillId="0" borderId="3" xfId="0" applyNumberFormat="1" applyFont="1" applyBorder="1" applyAlignment="1">
      <alignment horizontal="center" vertical="center"/>
    </xf>
    <xf numFmtId="0" fontId="18" fillId="0" borderId="0" xfId="0" applyFont="1"/>
    <xf numFmtId="0" fontId="20" fillId="0" borderId="0" xfId="0" applyFont="1"/>
    <xf numFmtId="0" fontId="21" fillId="0" borderId="0" xfId="0" applyFont="1"/>
    <xf numFmtId="0" fontId="18" fillId="22" borderId="3" xfId="0" applyFont="1" applyFill="1" applyBorder="1" applyAlignment="1">
      <alignment horizontal="center" vertical="center"/>
    </xf>
    <xf numFmtId="0" fontId="18" fillId="22" borderId="3" xfId="0" applyFont="1" applyFill="1" applyBorder="1" applyAlignment="1">
      <alignment horizontal="left" vertical="center"/>
    </xf>
    <xf numFmtId="165" fontId="18" fillId="22" borderId="3" xfId="0" applyNumberFormat="1" applyFont="1" applyFill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8" fillId="23" borderId="3" xfId="0" applyFont="1" applyFill="1" applyBorder="1" applyAlignment="1">
      <alignment horizontal="center" vertical="center"/>
    </xf>
    <xf numFmtId="0" fontId="18" fillId="23" borderId="3" xfId="0" applyFont="1" applyFill="1" applyBorder="1" applyAlignment="1">
      <alignment horizontal="left" vertical="center"/>
    </xf>
    <xf numFmtId="165" fontId="18" fillId="23" borderId="3" xfId="0" applyNumberFormat="1" applyFont="1" applyFill="1" applyBorder="1" applyAlignment="1">
      <alignment horizontal="center" vertical="center"/>
    </xf>
    <xf numFmtId="0" fontId="18" fillId="24" borderId="3" xfId="0" applyFont="1" applyFill="1" applyBorder="1" applyAlignment="1">
      <alignment horizontal="center" vertical="center"/>
    </xf>
    <xf numFmtId="0" fontId="18" fillId="24" borderId="3" xfId="0" applyFont="1" applyFill="1" applyBorder="1" applyAlignment="1">
      <alignment horizontal="left" vertical="center"/>
    </xf>
    <xf numFmtId="165" fontId="18" fillId="24" borderId="3" xfId="0" applyNumberFormat="1" applyFont="1" applyFill="1" applyBorder="1" applyAlignment="1">
      <alignment horizontal="center" vertical="center"/>
    </xf>
    <xf numFmtId="0" fontId="18" fillId="25" borderId="3" xfId="0" applyFont="1" applyFill="1" applyBorder="1" applyAlignment="1">
      <alignment horizontal="center" vertical="center"/>
    </xf>
    <xf numFmtId="0" fontId="18" fillId="25" borderId="3" xfId="0" applyFont="1" applyFill="1" applyBorder="1" applyAlignment="1">
      <alignment horizontal="left" vertical="center"/>
    </xf>
    <xf numFmtId="165" fontId="18" fillId="25" borderId="3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textRotation="180"/>
    </xf>
    <xf numFmtId="0" fontId="8" fillId="26" borderId="0" xfId="0" applyFont="1" applyFill="1" applyAlignment="1">
      <alignment horizontal="left" vertical="center"/>
    </xf>
  </cellXfs>
  <cellStyles count="1">
    <cellStyle name="Normal" xfId="0" builtinId="0"/>
  </cellStyles>
  <dxfs count="2">
    <dxf>
      <font>
        <b/>
        <color rgb="FF9C0006"/>
        <name val="Tahoma"/>
        <charset val="1"/>
      </font>
      <fill>
        <patternFill>
          <bgColor rgb="FFFFC7CE"/>
        </patternFill>
      </fill>
    </dxf>
    <dxf>
      <font>
        <b/>
        <color rgb="FF9C0006"/>
        <name val="Tahoma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9C0006"/>
      <rgbColor rgb="FF008000"/>
      <rgbColor rgb="FF000080"/>
      <rgbColor rgb="FFB2621A"/>
      <rgbColor rgb="FF800080"/>
      <rgbColor rgb="FF2F7A47"/>
      <rgbColor rgb="FFD9D9D9"/>
      <rgbColor rgb="FF7F7F7F"/>
      <rgbColor rgb="FFB1A0CE"/>
      <rgbColor rgb="FF595959"/>
      <rgbColor rgb="FFFFF2CC"/>
      <rgbColor rgb="FFDCE9F7"/>
      <rgbColor rgb="FF660066"/>
      <rgbColor rgb="FFE3A868"/>
      <rgbColor rgb="FF2C5F93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DDF0E3"/>
      <rgbColor rgb="FFFBE7D2"/>
      <rgbColor rgb="FF8FB6E0"/>
      <rgbColor rgb="FFEDEDED"/>
      <rgbColor rgb="FFE8DFF3"/>
      <rgbColor rgb="FFFFC7CE"/>
      <rgbColor rgb="FF4472C4"/>
      <rgbColor rgb="FF4A90D9"/>
      <rgbColor rgb="FF8FCBA0"/>
      <rgbColor rgb="FFFFCC00"/>
      <rgbColor rgb="FFE08B3C"/>
      <rgbColor rgb="FFED7D31"/>
      <rgbColor rgb="FF8E6BB5"/>
      <rgbColor rgb="FF9E9E9E"/>
      <rgbColor rgb="FF1F3864"/>
      <rgbColor rgb="FF52A66B"/>
      <rgbColor rgb="FF003300"/>
      <rgbColor rgb="FF333300"/>
      <rgbColor rgb="FF993300"/>
      <rgbColor rgb="FF993366"/>
      <rgbColor rgb="FF5E3F88"/>
      <rgbColor rgb="FF2F3B5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66"/>
  <sheetViews>
    <sheetView showGridLines="0"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65" sqref="B65"/>
    </sheetView>
  </sheetViews>
  <sheetFormatPr defaultColWidth="8.7109375" defaultRowHeight="15"/>
  <cols>
    <col min="1" max="1" width="9" customWidth="1"/>
    <col min="2" max="2" width="65.28515625" customWidth="1"/>
    <col min="3" max="3" width="14.42578125" customWidth="1"/>
    <col min="4" max="5" width="13" customWidth="1"/>
    <col min="6" max="6" width="11" customWidth="1"/>
    <col min="7" max="9" width="11.28515625" customWidth="1"/>
    <col min="10" max="19" width="7.28515625" customWidth="1"/>
    <col min="20" max="22" width="11.28515625" customWidth="1"/>
    <col min="23" max="23" width="15.28515625" customWidth="1"/>
    <col min="24" max="24" width="7.28515625" customWidth="1"/>
    <col min="25" max="25" width="6.5703125" customWidth="1"/>
    <col min="26" max="26" width="14" customWidth="1"/>
  </cols>
  <sheetData>
    <row r="1" spans="1:26" ht="33.75" customHeight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9.5" customHeight="1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8" customHeight="1">
      <c r="A3" s="11" t="s">
        <v>2</v>
      </c>
      <c r="B3" s="11"/>
      <c r="C3" s="11"/>
      <c r="D3" s="11"/>
      <c r="E3" s="11"/>
      <c r="F3" s="11"/>
      <c r="G3" s="10" t="s">
        <v>3</v>
      </c>
      <c r="H3" s="10"/>
      <c r="I3" s="10"/>
      <c r="J3" s="9" t="s">
        <v>4</v>
      </c>
      <c r="K3" s="9"/>
      <c r="L3" s="9"/>
      <c r="M3" s="8" t="s">
        <v>5</v>
      </c>
      <c r="N3" s="8"/>
      <c r="O3" s="8"/>
      <c r="P3" s="7" t="s">
        <v>6</v>
      </c>
      <c r="Q3" s="7"/>
      <c r="R3" s="7"/>
      <c r="S3" s="7"/>
      <c r="T3" s="7" t="s">
        <v>7</v>
      </c>
      <c r="U3" s="7"/>
      <c r="V3" s="15" t="s">
        <v>8</v>
      </c>
      <c r="W3" s="14" t="s">
        <v>7</v>
      </c>
      <c r="X3" s="6" t="s">
        <v>8</v>
      </c>
      <c r="Y3" s="6"/>
      <c r="Z3" s="14" t="s">
        <v>7</v>
      </c>
    </row>
    <row r="4" spans="1:26" ht="66.75" customHeight="1">
      <c r="A4" s="16" t="s">
        <v>9</v>
      </c>
      <c r="B4" s="16" t="s">
        <v>10</v>
      </c>
      <c r="C4" s="16" t="s">
        <v>11</v>
      </c>
      <c r="D4" s="16" t="s">
        <v>12</v>
      </c>
      <c r="E4" s="16" t="s">
        <v>13</v>
      </c>
      <c r="F4" s="16" t="s">
        <v>14</v>
      </c>
      <c r="G4" s="73" t="s">
        <v>15</v>
      </c>
      <c r="H4" s="73" t="s">
        <v>16</v>
      </c>
      <c r="I4" s="73" t="s">
        <v>17</v>
      </c>
      <c r="J4" s="73" t="s">
        <v>18</v>
      </c>
      <c r="K4" s="73" t="s">
        <v>19</v>
      </c>
      <c r="L4" s="73" t="s">
        <v>20</v>
      </c>
      <c r="M4" s="73" t="s">
        <v>21</v>
      </c>
      <c r="N4" s="73" t="s">
        <v>22</v>
      </c>
      <c r="O4" s="73" t="s">
        <v>23</v>
      </c>
      <c r="P4" s="73" t="s">
        <v>24</v>
      </c>
      <c r="Q4" s="73" t="s">
        <v>25</v>
      </c>
      <c r="R4" s="73" t="s">
        <v>26</v>
      </c>
      <c r="S4" s="73" t="s">
        <v>27</v>
      </c>
      <c r="T4" s="73" t="s">
        <v>28</v>
      </c>
      <c r="U4" s="73" t="s">
        <v>29</v>
      </c>
      <c r="V4" s="73" t="s">
        <v>30</v>
      </c>
      <c r="W4" s="73" t="s">
        <v>31</v>
      </c>
      <c r="X4" s="73" t="s">
        <v>32</v>
      </c>
      <c r="Y4" s="73" t="s">
        <v>33</v>
      </c>
      <c r="Z4" s="73" t="s">
        <v>34</v>
      </c>
    </row>
    <row r="5" spans="1:26" ht="18" customHeight="1">
      <c r="A5" s="5" t="s">
        <v>35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>
      <c r="A6" s="17" t="s">
        <v>36</v>
      </c>
      <c r="B6" s="18" t="s">
        <v>37</v>
      </c>
      <c r="C6" s="17"/>
      <c r="D6" s="19">
        <v>46293</v>
      </c>
      <c r="E6" s="19">
        <v>46293</v>
      </c>
      <c r="F6" s="17">
        <f t="shared" ref="F6:F13" si="0">E6-D6+1</f>
        <v>1</v>
      </c>
      <c r="G6" s="20"/>
      <c r="H6" s="20"/>
      <c r="I6" s="21" t="s">
        <v>38</v>
      </c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2"/>
      <c r="W6" s="20"/>
      <c r="X6" s="22"/>
      <c r="Y6" s="22"/>
      <c r="Z6" s="20"/>
    </row>
    <row r="7" spans="1:26" ht="15.75" customHeight="1">
      <c r="A7" s="17" t="s">
        <v>39</v>
      </c>
      <c r="B7" s="18" t="s">
        <v>40</v>
      </c>
      <c r="C7" s="17"/>
      <c r="D7" s="19">
        <v>46288</v>
      </c>
      <c r="E7" s="19">
        <v>46288</v>
      </c>
      <c r="F7" s="17">
        <f t="shared" si="0"/>
        <v>1</v>
      </c>
      <c r="G7" s="20"/>
      <c r="H7" s="20"/>
      <c r="I7" s="23" t="s">
        <v>39</v>
      </c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2"/>
      <c r="W7" s="20"/>
      <c r="X7" s="22"/>
      <c r="Y7" s="22"/>
      <c r="Z7" s="20"/>
    </row>
    <row r="8" spans="1:26" ht="15.75" customHeight="1">
      <c r="A8" s="17" t="s">
        <v>39</v>
      </c>
      <c r="B8" s="18" t="s">
        <v>41</v>
      </c>
      <c r="C8" s="17"/>
      <c r="D8" s="19">
        <v>46296</v>
      </c>
      <c r="E8" s="19">
        <v>46296</v>
      </c>
      <c r="F8" s="17">
        <f t="shared" si="0"/>
        <v>1</v>
      </c>
      <c r="G8" s="20"/>
      <c r="H8" s="20"/>
      <c r="I8" s="20"/>
      <c r="J8" s="23" t="s">
        <v>39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2"/>
      <c r="W8" s="20"/>
      <c r="X8" s="22"/>
      <c r="Y8" s="22"/>
      <c r="Z8" s="20"/>
    </row>
    <row r="9" spans="1:26" ht="15.75" customHeight="1">
      <c r="A9" s="17" t="s">
        <v>42</v>
      </c>
      <c r="B9" s="18" t="s">
        <v>43</v>
      </c>
      <c r="C9" s="17"/>
      <c r="D9" s="19">
        <v>46314</v>
      </c>
      <c r="E9" s="19">
        <v>46314</v>
      </c>
      <c r="F9" s="17">
        <f t="shared" si="0"/>
        <v>1</v>
      </c>
      <c r="G9" s="20"/>
      <c r="H9" s="20"/>
      <c r="I9" s="20"/>
      <c r="J9" s="20"/>
      <c r="K9" s="20"/>
      <c r="L9" s="21" t="s">
        <v>38</v>
      </c>
      <c r="M9" s="20"/>
      <c r="N9" s="20"/>
      <c r="O9" s="20"/>
      <c r="P9" s="20"/>
      <c r="Q9" s="20"/>
      <c r="R9" s="20"/>
      <c r="S9" s="20"/>
      <c r="T9" s="20"/>
      <c r="U9" s="20"/>
      <c r="V9" s="22"/>
      <c r="W9" s="20"/>
      <c r="X9" s="22"/>
      <c r="Y9" s="22"/>
      <c r="Z9" s="20"/>
    </row>
    <row r="10" spans="1:26" ht="15.75" customHeight="1">
      <c r="A10" s="17" t="s">
        <v>39</v>
      </c>
      <c r="B10" s="18" t="s">
        <v>44</v>
      </c>
      <c r="C10" s="17"/>
      <c r="D10" s="19">
        <v>46325</v>
      </c>
      <c r="E10" s="19">
        <v>46325</v>
      </c>
      <c r="F10" s="17">
        <f t="shared" si="0"/>
        <v>1</v>
      </c>
      <c r="G10" s="20"/>
      <c r="H10" s="20"/>
      <c r="I10" s="20"/>
      <c r="J10" s="20"/>
      <c r="K10" s="20"/>
      <c r="L10" s="20"/>
      <c r="M10" s="20"/>
      <c r="N10" s="23" t="s">
        <v>39</v>
      </c>
      <c r="O10" s="20"/>
      <c r="P10" s="20"/>
      <c r="Q10" s="20"/>
      <c r="R10" s="20"/>
      <c r="S10" s="20"/>
      <c r="T10" s="20"/>
      <c r="U10" s="20"/>
      <c r="V10" s="22"/>
      <c r="W10" s="20"/>
      <c r="X10" s="22"/>
      <c r="Y10" s="22"/>
      <c r="Z10" s="20"/>
    </row>
    <row r="11" spans="1:26" ht="15.75" customHeight="1">
      <c r="A11" s="17" t="s">
        <v>45</v>
      </c>
      <c r="B11" s="18" t="s">
        <v>46</v>
      </c>
      <c r="C11" s="17"/>
      <c r="D11" s="19">
        <v>46335</v>
      </c>
      <c r="E11" s="19">
        <v>46335</v>
      </c>
      <c r="F11" s="17">
        <f t="shared" si="0"/>
        <v>1</v>
      </c>
      <c r="G11" s="20"/>
      <c r="H11" s="20"/>
      <c r="I11" s="20"/>
      <c r="J11" s="20"/>
      <c r="K11" s="20"/>
      <c r="L11" s="20"/>
      <c r="M11" s="20"/>
      <c r="N11" s="20"/>
      <c r="O11" s="21" t="s">
        <v>38</v>
      </c>
      <c r="P11" s="20"/>
      <c r="Q11" s="20"/>
      <c r="R11" s="20"/>
      <c r="S11" s="20"/>
      <c r="T11" s="20"/>
      <c r="U11" s="20"/>
      <c r="V11" s="22"/>
      <c r="W11" s="20"/>
      <c r="X11" s="22"/>
      <c r="Y11" s="22"/>
      <c r="Z11" s="20"/>
    </row>
    <row r="12" spans="1:26" ht="15.75" customHeight="1">
      <c r="A12" s="17" t="s">
        <v>47</v>
      </c>
      <c r="B12" s="18" t="s">
        <v>48</v>
      </c>
      <c r="C12" s="17"/>
      <c r="D12" s="19">
        <v>46363</v>
      </c>
      <c r="E12" s="19">
        <v>46363</v>
      </c>
      <c r="F12" s="17">
        <f t="shared" si="0"/>
        <v>1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1" t="s">
        <v>38</v>
      </c>
      <c r="T12" s="20"/>
      <c r="U12" s="20"/>
      <c r="V12" s="22"/>
      <c r="W12" s="20"/>
      <c r="X12" s="22"/>
      <c r="Y12" s="22"/>
      <c r="Z12" s="20"/>
    </row>
    <row r="13" spans="1:26" ht="15.75" customHeight="1">
      <c r="A13" s="17" t="s">
        <v>49</v>
      </c>
      <c r="B13" s="18" t="s">
        <v>50</v>
      </c>
      <c r="C13" s="17"/>
      <c r="D13" s="19">
        <v>46412</v>
      </c>
      <c r="E13" s="19">
        <v>46412</v>
      </c>
      <c r="F13" s="17">
        <f t="shared" si="0"/>
        <v>1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2"/>
      <c r="W13" s="20"/>
      <c r="X13" s="22"/>
      <c r="Y13" s="22"/>
      <c r="Z13" s="21" t="s">
        <v>38</v>
      </c>
    </row>
    <row r="14" spans="1:26" ht="18" customHeight="1">
      <c r="A14" s="5" t="s">
        <v>51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8" customHeight="1">
      <c r="A15" s="24" t="s">
        <v>52</v>
      </c>
      <c r="B15" s="25" t="s">
        <v>53</v>
      </c>
      <c r="C15" s="24"/>
      <c r="D15" s="26">
        <v>46273</v>
      </c>
      <c r="E15" s="26">
        <v>46293</v>
      </c>
      <c r="F15" s="24">
        <f t="shared" ref="F15:F56" si="1">E15-D15+1</f>
        <v>21</v>
      </c>
      <c r="G15" s="27"/>
      <c r="H15" s="27"/>
      <c r="I15" s="27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2"/>
      <c r="W15" s="28"/>
      <c r="X15" s="22"/>
      <c r="Y15" s="22"/>
      <c r="Z15" s="28"/>
    </row>
    <row r="16" spans="1:26" ht="15" customHeight="1">
      <c r="A16" s="20" t="s">
        <v>54</v>
      </c>
      <c r="B16" s="29" t="s">
        <v>55</v>
      </c>
      <c r="C16" s="20"/>
      <c r="D16" s="30">
        <v>46273</v>
      </c>
      <c r="E16" s="30">
        <v>46279</v>
      </c>
      <c r="F16" s="20">
        <f t="shared" si="1"/>
        <v>7</v>
      </c>
      <c r="G16" s="31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2"/>
      <c r="W16" s="20"/>
      <c r="X16" s="22"/>
      <c r="Y16" s="22"/>
      <c r="Z16" s="20"/>
    </row>
    <row r="17" spans="1:26" ht="15" customHeight="1">
      <c r="A17" s="20" t="s">
        <v>56</v>
      </c>
      <c r="B17" s="29" t="s">
        <v>57</v>
      </c>
      <c r="C17" s="20"/>
      <c r="D17" s="30">
        <v>46273</v>
      </c>
      <c r="E17" s="30">
        <v>46279</v>
      </c>
      <c r="F17" s="20">
        <f t="shared" si="1"/>
        <v>7</v>
      </c>
      <c r="G17" s="31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2"/>
      <c r="W17" s="20"/>
      <c r="X17" s="22"/>
      <c r="Y17" s="22"/>
      <c r="Z17" s="20"/>
    </row>
    <row r="18" spans="1:26" ht="15" customHeight="1">
      <c r="A18" s="20" t="s">
        <v>58</v>
      </c>
      <c r="B18" s="29" t="s">
        <v>59</v>
      </c>
      <c r="C18" s="20"/>
      <c r="D18" s="30">
        <v>46280</v>
      </c>
      <c r="E18" s="30">
        <v>46286</v>
      </c>
      <c r="F18" s="20">
        <f t="shared" si="1"/>
        <v>7</v>
      </c>
      <c r="G18" s="20"/>
      <c r="H18" s="31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2"/>
      <c r="W18" s="20"/>
      <c r="X18" s="22"/>
      <c r="Y18" s="22"/>
      <c r="Z18" s="20"/>
    </row>
    <row r="19" spans="1:26" ht="15" customHeight="1">
      <c r="A19" s="20" t="s">
        <v>60</v>
      </c>
      <c r="B19" s="29" t="s">
        <v>61</v>
      </c>
      <c r="C19" s="20"/>
      <c r="D19" s="30">
        <v>46280</v>
      </c>
      <c r="E19" s="30">
        <v>46286</v>
      </c>
      <c r="F19" s="20">
        <f t="shared" si="1"/>
        <v>7</v>
      </c>
      <c r="G19" s="20"/>
      <c r="H19" s="31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2"/>
      <c r="W19" s="20"/>
      <c r="X19" s="22"/>
      <c r="Y19" s="22"/>
      <c r="Z19" s="20"/>
    </row>
    <row r="20" spans="1:26" ht="15" customHeight="1">
      <c r="A20" s="20" t="s">
        <v>62</v>
      </c>
      <c r="B20" s="29" t="s">
        <v>63</v>
      </c>
      <c r="C20" s="20"/>
      <c r="D20" s="30">
        <v>46287</v>
      </c>
      <c r="E20" s="30">
        <v>46293</v>
      </c>
      <c r="F20" s="20">
        <f t="shared" si="1"/>
        <v>7</v>
      </c>
      <c r="G20" s="20"/>
      <c r="H20" s="20"/>
      <c r="I20" s="31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2"/>
      <c r="W20" s="20"/>
      <c r="X20" s="22"/>
      <c r="Y20" s="22"/>
      <c r="Z20" s="20"/>
    </row>
    <row r="21" spans="1:26" ht="15" customHeight="1">
      <c r="A21" s="20" t="s">
        <v>64</v>
      </c>
      <c r="B21" s="29" t="s">
        <v>65</v>
      </c>
      <c r="C21" s="20"/>
      <c r="D21" s="30">
        <v>46287</v>
      </c>
      <c r="E21" s="30">
        <v>46293</v>
      </c>
      <c r="F21" s="20">
        <f t="shared" si="1"/>
        <v>7</v>
      </c>
      <c r="G21" s="20"/>
      <c r="H21" s="20"/>
      <c r="I21" s="31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2"/>
      <c r="W21" s="20"/>
      <c r="X21" s="22"/>
      <c r="Y21" s="22"/>
      <c r="Z21" s="20"/>
    </row>
    <row r="22" spans="1:26" ht="18" customHeight="1">
      <c r="A22" s="24" t="s">
        <v>66</v>
      </c>
      <c r="B22" s="25" t="s">
        <v>67</v>
      </c>
      <c r="C22" s="24"/>
      <c r="D22" s="26">
        <v>46287</v>
      </c>
      <c r="E22" s="26">
        <v>46314</v>
      </c>
      <c r="F22" s="24">
        <f t="shared" si="1"/>
        <v>28</v>
      </c>
      <c r="G22" s="28"/>
      <c r="H22" s="28"/>
      <c r="I22" s="32"/>
      <c r="J22" s="32"/>
      <c r="K22" s="32"/>
      <c r="L22" s="32"/>
      <c r="M22" s="28"/>
      <c r="N22" s="28"/>
      <c r="O22" s="28"/>
      <c r="P22" s="28"/>
      <c r="Q22" s="28"/>
      <c r="R22" s="28"/>
      <c r="S22" s="28"/>
      <c r="T22" s="28"/>
      <c r="U22" s="28"/>
      <c r="V22" s="22"/>
      <c r="W22" s="28"/>
      <c r="X22" s="22"/>
      <c r="Y22" s="22"/>
      <c r="Z22" s="28"/>
    </row>
    <row r="23" spans="1:26" ht="15" customHeight="1">
      <c r="A23" s="20" t="s">
        <v>68</v>
      </c>
      <c r="B23" s="29" t="s">
        <v>69</v>
      </c>
      <c r="C23" s="20"/>
      <c r="D23" s="30">
        <v>46287</v>
      </c>
      <c r="E23" s="30">
        <v>46293</v>
      </c>
      <c r="F23" s="20">
        <f t="shared" si="1"/>
        <v>7</v>
      </c>
      <c r="G23" s="20"/>
      <c r="H23" s="20"/>
      <c r="I23" s="33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2"/>
      <c r="W23" s="20"/>
      <c r="X23" s="22"/>
      <c r="Y23" s="22"/>
      <c r="Z23" s="20"/>
    </row>
    <row r="24" spans="1:26" ht="15" customHeight="1">
      <c r="A24" s="20" t="s">
        <v>70</v>
      </c>
      <c r="B24" s="29" t="s">
        <v>71</v>
      </c>
      <c r="C24" s="20"/>
      <c r="D24" s="30">
        <v>46294</v>
      </c>
      <c r="E24" s="30">
        <v>46300</v>
      </c>
      <c r="F24" s="20">
        <f t="shared" si="1"/>
        <v>7</v>
      </c>
      <c r="G24" s="20"/>
      <c r="H24" s="20"/>
      <c r="I24" s="20"/>
      <c r="J24" s="33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2"/>
      <c r="W24" s="20"/>
      <c r="X24" s="22"/>
      <c r="Y24" s="22"/>
      <c r="Z24" s="20"/>
    </row>
    <row r="25" spans="1:26" ht="15" customHeight="1">
      <c r="A25" s="20" t="s">
        <v>72</v>
      </c>
      <c r="B25" s="29" t="s">
        <v>73</v>
      </c>
      <c r="C25" s="20"/>
      <c r="D25" s="30">
        <v>46294</v>
      </c>
      <c r="E25" s="30">
        <v>46300</v>
      </c>
      <c r="F25" s="20">
        <f t="shared" si="1"/>
        <v>7</v>
      </c>
      <c r="G25" s="20"/>
      <c r="H25" s="20"/>
      <c r="I25" s="20"/>
      <c r="J25" s="33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2"/>
      <c r="W25" s="20"/>
      <c r="X25" s="22"/>
      <c r="Y25" s="22"/>
      <c r="Z25" s="20"/>
    </row>
    <row r="26" spans="1:26" ht="15" customHeight="1">
      <c r="A26" s="20" t="s">
        <v>74</v>
      </c>
      <c r="B26" s="29" t="s">
        <v>75</v>
      </c>
      <c r="C26" s="20"/>
      <c r="D26" s="30">
        <v>46294</v>
      </c>
      <c r="E26" s="30">
        <v>46300</v>
      </c>
      <c r="F26" s="20">
        <f t="shared" si="1"/>
        <v>7</v>
      </c>
      <c r="G26" s="20"/>
      <c r="H26" s="20"/>
      <c r="I26" s="20"/>
      <c r="J26" s="33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2"/>
      <c r="W26" s="20"/>
      <c r="X26" s="22"/>
      <c r="Y26" s="22"/>
      <c r="Z26" s="20"/>
    </row>
    <row r="27" spans="1:26" ht="15" customHeight="1">
      <c r="A27" s="20" t="s">
        <v>76</v>
      </c>
      <c r="B27" s="29" t="s">
        <v>77</v>
      </c>
      <c r="C27" s="20"/>
      <c r="D27" s="30">
        <v>46301</v>
      </c>
      <c r="E27" s="30">
        <v>46307</v>
      </c>
      <c r="F27" s="20">
        <f t="shared" si="1"/>
        <v>7</v>
      </c>
      <c r="G27" s="20"/>
      <c r="H27" s="20"/>
      <c r="I27" s="20"/>
      <c r="J27" s="20"/>
      <c r="K27" s="33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2"/>
      <c r="W27" s="20"/>
      <c r="X27" s="22"/>
      <c r="Y27" s="22"/>
      <c r="Z27" s="20"/>
    </row>
    <row r="28" spans="1:26" ht="15" customHeight="1">
      <c r="A28" s="20" t="s">
        <v>78</v>
      </c>
      <c r="B28" s="29" t="s">
        <v>79</v>
      </c>
      <c r="C28" s="20"/>
      <c r="D28" s="30">
        <v>46301</v>
      </c>
      <c r="E28" s="30">
        <v>46307</v>
      </c>
      <c r="F28" s="20">
        <f t="shared" si="1"/>
        <v>7</v>
      </c>
      <c r="G28" s="20"/>
      <c r="H28" s="20"/>
      <c r="I28" s="20"/>
      <c r="J28" s="20"/>
      <c r="K28" s="33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2"/>
      <c r="W28" s="20"/>
      <c r="X28" s="22"/>
      <c r="Y28" s="22"/>
      <c r="Z28" s="20"/>
    </row>
    <row r="29" spans="1:26" ht="15" customHeight="1">
      <c r="A29" s="20" t="s">
        <v>80</v>
      </c>
      <c r="B29" s="29" t="s">
        <v>81</v>
      </c>
      <c r="C29" s="20"/>
      <c r="D29" s="30">
        <v>46308</v>
      </c>
      <c r="E29" s="30">
        <v>46314</v>
      </c>
      <c r="F29" s="20">
        <f t="shared" si="1"/>
        <v>7</v>
      </c>
      <c r="G29" s="20"/>
      <c r="H29" s="20"/>
      <c r="I29" s="20"/>
      <c r="J29" s="20"/>
      <c r="K29" s="20"/>
      <c r="L29" s="33"/>
      <c r="M29" s="20"/>
      <c r="N29" s="20"/>
      <c r="O29" s="20"/>
      <c r="P29" s="20"/>
      <c r="Q29" s="20"/>
      <c r="R29" s="20"/>
      <c r="S29" s="20"/>
      <c r="T29" s="20"/>
      <c r="U29" s="20"/>
      <c r="V29" s="22"/>
      <c r="W29" s="20"/>
      <c r="X29" s="22"/>
      <c r="Y29" s="22"/>
      <c r="Z29" s="20"/>
    </row>
    <row r="30" spans="1:26" ht="15" customHeight="1">
      <c r="A30" s="20" t="s">
        <v>82</v>
      </c>
      <c r="B30" s="29" t="s">
        <v>83</v>
      </c>
      <c r="C30" s="20"/>
      <c r="D30" s="30">
        <v>46301</v>
      </c>
      <c r="E30" s="30">
        <v>46307</v>
      </c>
      <c r="F30" s="20">
        <f t="shared" si="1"/>
        <v>7</v>
      </c>
      <c r="G30" s="20"/>
      <c r="H30" s="20"/>
      <c r="I30" s="20"/>
      <c r="J30" s="20"/>
      <c r="K30" s="33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2"/>
      <c r="W30" s="20"/>
      <c r="X30" s="22"/>
      <c r="Y30" s="22"/>
      <c r="Z30" s="20"/>
    </row>
    <row r="31" spans="1:26" ht="15" customHeight="1">
      <c r="A31" s="20" t="s">
        <v>84</v>
      </c>
      <c r="B31" s="29" t="s">
        <v>85</v>
      </c>
      <c r="C31" s="20"/>
      <c r="D31" s="30">
        <v>46308</v>
      </c>
      <c r="E31" s="30">
        <v>46314</v>
      </c>
      <c r="F31" s="20">
        <f t="shared" si="1"/>
        <v>7</v>
      </c>
      <c r="G31" s="20"/>
      <c r="H31" s="20"/>
      <c r="I31" s="20"/>
      <c r="J31" s="20"/>
      <c r="K31" s="20"/>
      <c r="L31" s="33"/>
      <c r="M31" s="20"/>
      <c r="N31" s="20"/>
      <c r="O31" s="20"/>
      <c r="P31" s="20"/>
      <c r="Q31" s="20"/>
      <c r="R31" s="20"/>
      <c r="S31" s="20"/>
      <c r="T31" s="20"/>
      <c r="U31" s="20"/>
      <c r="V31" s="22"/>
      <c r="W31" s="20"/>
      <c r="X31" s="22"/>
      <c r="Y31" s="22"/>
      <c r="Z31" s="20"/>
    </row>
    <row r="32" spans="1:26" ht="15" customHeight="1">
      <c r="A32" s="20" t="s">
        <v>86</v>
      </c>
      <c r="B32" s="29" t="s">
        <v>87</v>
      </c>
      <c r="C32" s="20"/>
      <c r="D32" s="30">
        <v>46301</v>
      </c>
      <c r="E32" s="30">
        <v>46307</v>
      </c>
      <c r="F32" s="20">
        <f t="shared" si="1"/>
        <v>7</v>
      </c>
      <c r="G32" s="20"/>
      <c r="H32" s="20"/>
      <c r="I32" s="20"/>
      <c r="J32" s="20"/>
      <c r="K32" s="33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2"/>
      <c r="W32" s="20"/>
      <c r="X32" s="22"/>
      <c r="Y32" s="22"/>
      <c r="Z32" s="20"/>
    </row>
    <row r="33" spans="1:26" ht="15" customHeight="1">
      <c r="A33" s="20" t="s">
        <v>88</v>
      </c>
      <c r="B33" s="29" t="s">
        <v>89</v>
      </c>
      <c r="C33" s="20"/>
      <c r="D33" s="30">
        <v>46308</v>
      </c>
      <c r="E33" s="30">
        <v>46314</v>
      </c>
      <c r="F33" s="20">
        <f t="shared" si="1"/>
        <v>7</v>
      </c>
      <c r="G33" s="20"/>
      <c r="H33" s="20"/>
      <c r="I33" s="20"/>
      <c r="J33" s="20"/>
      <c r="K33" s="20"/>
      <c r="L33" s="33"/>
      <c r="M33" s="20"/>
      <c r="N33" s="20"/>
      <c r="O33" s="20"/>
      <c r="P33" s="20"/>
      <c r="Q33" s="20"/>
      <c r="R33" s="20"/>
      <c r="S33" s="20"/>
      <c r="T33" s="20"/>
      <c r="U33" s="20"/>
      <c r="V33" s="22"/>
      <c r="W33" s="20"/>
      <c r="X33" s="22"/>
      <c r="Y33" s="22"/>
      <c r="Z33" s="20"/>
    </row>
    <row r="34" spans="1:26" ht="18" customHeight="1">
      <c r="A34" s="24" t="s">
        <v>90</v>
      </c>
      <c r="B34" s="25" t="s">
        <v>91</v>
      </c>
      <c r="C34" s="24"/>
      <c r="D34" s="26">
        <v>46301</v>
      </c>
      <c r="E34" s="26">
        <v>46335</v>
      </c>
      <c r="F34" s="24">
        <f t="shared" si="1"/>
        <v>35</v>
      </c>
      <c r="G34" s="28"/>
      <c r="H34" s="28"/>
      <c r="I34" s="28"/>
      <c r="J34" s="28"/>
      <c r="K34" s="34"/>
      <c r="L34" s="34"/>
      <c r="M34" s="34"/>
      <c r="N34" s="34"/>
      <c r="O34" s="34"/>
      <c r="P34" s="28"/>
      <c r="Q34" s="28"/>
      <c r="R34" s="28"/>
      <c r="S34" s="28"/>
      <c r="T34" s="28"/>
      <c r="U34" s="28"/>
      <c r="V34" s="22"/>
      <c r="W34" s="28"/>
      <c r="X34" s="22"/>
      <c r="Y34" s="22"/>
      <c r="Z34" s="28"/>
    </row>
    <row r="35" spans="1:26" ht="15" customHeight="1">
      <c r="A35" s="20" t="s">
        <v>92</v>
      </c>
      <c r="B35" s="29" t="s">
        <v>93</v>
      </c>
      <c r="C35" s="20"/>
      <c r="D35" s="30">
        <v>46301</v>
      </c>
      <c r="E35" s="30">
        <v>46307</v>
      </c>
      <c r="F35" s="20">
        <f t="shared" si="1"/>
        <v>7</v>
      </c>
      <c r="G35" s="20"/>
      <c r="H35" s="20"/>
      <c r="I35" s="20"/>
      <c r="J35" s="20"/>
      <c r="K35" s="35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2"/>
      <c r="W35" s="20"/>
      <c r="X35" s="22"/>
      <c r="Y35" s="22"/>
      <c r="Z35" s="20"/>
    </row>
    <row r="36" spans="1:26" ht="15" customHeight="1">
      <c r="A36" s="20" t="s">
        <v>94</v>
      </c>
      <c r="B36" s="29" t="s">
        <v>95</v>
      </c>
      <c r="C36" s="20"/>
      <c r="D36" s="30">
        <v>46301</v>
      </c>
      <c r="E36" s="30">
        <v>46307</v>
      </c>
      <c r="F36" s="20">
        <f t="shared" si="1"/>
        <v>7</v>
      </c>
      <c r="G36" s="20"/>
      <c r="H36" s="20"/>
      <c r="I36" s="20"/>
      <c r="J36" s="20"/>
      <c r="K36" s="35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2"/>
      <c r="W36" s="20"/>
      <c r="X36" s="22"/>
      <c r="Y36" s="22"/>
      <c r="Z36" s="20"/>
    </row>
    <row r="37" spans="1:26" ht="15" customHeight="1">
      <c r="A37" s="20" t="s">
        <v>96</v>
      </c>
      <c r="B37" s="29" t="s">
        <v>97</v>
      </c>
      <c r="C37" s="20"/>
      <c r="D37" s="30">
        <v>46301</v>
      </c>
      <c r="E37" s="30">
        <v>46307</v>
      </c>
      <c r="F37" s="20">
        <f t="shared" si="1"/>
        <v>7</v>
      </c>
      <c r="G37" s="20"/>
      <c r="H37" s="20"/>
      <c r="I37" s="20"/>
      <c r="J37" s="20"/>
      <c r="K37" s="35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2"/>
      <c r="W37" s="20"/>
      <c r="X37" s="22"/>
      <c r="Y37" s="22"/>
      <c r="Z37" s="20"/>
    </row>
    <row r="38" spans="1:26" ht="15" customHeight="1">
      <c r="A38" s="20" t="s">
        <v>98</v>
      </c>
      <c r="B38" s="29" t="s">
        <v>99</v>
      </c>
      <c r="C38" s="20"/>
      <c r="D38" s="30">
        <v>46308</v>
      </c>
      <c r="E38" s="30">
        <v>46314</v>
      </c>
      <c r="F38" s="20">
        <f t="shared" si="1"/>
        <v>7</v>
      </c>
      <c r="G38" s="20"/>
      <c r="H38" s="20"/>
      <c r="I38" s="20"/>
      <c r="J38" s="20"/>
      <c r="K38" s="20"/>
      <c r="L38" s="35"/>
      <c r="M38" s="20"/>
      <c r="N38" s="20"/>
      <c r="O38" s="20"/>
      <c r="P38" s="20"/>
      <c r="Q38" s="20"/>
      <c r="R38" s="20"/>
      <c r="S38" s="20"/>
      <c r="T38" s="20"/>
      <c r="U38" s="20"/>
      <c r="V38" s="22"/>
      <c r="W38" s="20"/>
      <c r="X38" s="22"/>
      <c r="Y38" s="22"/>
      <c r="Z38" s="20"/>
    </row>
    <row r="39" spans="1:26" ht="15" customHeight="1">
      <c r="A39" s="20" t="s">
        <v>100</v>
      </c>
      <c r="B39" s="29" t="s">
        <v>101</v>
      </c>
      <c r="C39" s="20"/>
      <c r="D39" s="30">
        <v>46308</v>
      </c>
      <c r="E39" s="30">
        <v>46314</v>
      </c>
      <c r="F39" s="20">
        <f t="shared" si="1"/>
        <v>7</v>
      </c>
      <c r="G39" s="20"/>
      <c r="H39" s="20"/>
      <c r="I39" s="20"/>
      <c r="J39" s="20"/>
      <c r="K39" s="20"/>
      <c r="L39" s="35"/>
      <c r="M39" s="20"/>
      <c r="N39" s="20"/>
      <c r="O39" s="20"/>
      <c r="P39" s="20"/>
      <c r="Q39" s="20"/>
      <c r="R39" s="20"/>
      <c r="S39" s="20"/>
      <c r="T39" s="20"/>
      <c r="U39" s="20"/>
      <c r="V39" s="22"/>
      <c r="W39" s="20"/>
      <c r="X39" s="22"/>
      <c r="Y39" s="22"/>
      <c r="Z39" s="20"/>
    </row>
    <row r="40" spans="1:26" ht="15" customHeight="1">
      <c r="A40" s="20" t="s">
        <v>102</v>
      </c>
      <c r="B40" s="29" t="s">
        <v>103</v>
      </c>
      <c r="C40" s="20"/>
      <c r="D40" s="30">
        <v>46315</v>
      </c>
      <c r="E40" s="30">
        <v>46321</v>
      </c>
      <c r="F40" s="20">
        <f t="shared" si="1"/>
        <v>7</v>
      </c>
      <c r="G40" s="20"/>
      <c r="H40" s="20"/>
      <c r="I40" s="20"/>
      <c r="J40" s="20"/>
      <c r="K40" s="20"/>
      <c r="L40" s="20"/>
      <c r="M40" s="35"/>
      <c r="N40" s="20"/>
      <c r="O40" s="20"/>
      <c r="P40" s="20"/>
      <c r="Q40" s="20"/>
      <c r="R40" s="20"/>
      <c r="S40" s="20"/>
      <c r="T40" s="20"/>
      <c r="U40" s="20"/>
      <c r="V40" s="22"/>
      <c r="W40" s="20"/>
      <c r="X40" s="22"/>
      <c r="Y40" s="22"/>
      <c r="Z40" s="20"/>
    </row>
    <row r="41" spans="1:26" ht="15" customHeight="1">
      <c r="A41" s="20" t="s">
        <v>104</v>
      </c>
      <c r="B41" s="29" t="s">
        <v>105</v>
      </c>
      <c r="C41" s="20"/>
      <c r="D41" s="30">
        <v>46315</v>
      </c>
      <c r="E41" s="30">
        <v>46321</v>
      </c>
      <c r="F41" s="20">
        <f t="shared" si="1"/>
        <v>7</v>
      </c>
      <c r="G41" s="20"/>
      <c r="H41" s="20"/>
      <c r="I41" s="20"/>
      <c r="J41" s="20"/>
      <c r="K41" s="20"/>
      <c r="L41" s="20"/>
      <c r="M41" s="35"/>
      <c r="N41" s="20"/>
      <c r="O41" s="20"/>
      <c r="P41" s="20"/>
      <c r="Q41" s="20"/>
      <c r="R41" s="20"/>
      <c r="S41" s="20"/>
      <c r="T41" s="20"/>
      <c r="U41" s="20"/>
      <c r="V41" s="22"/>
      <c r="W41" s="20"/>
      <c r="X41" s="22"/>
      <c r="Y41" s="22"/>
      <c r="Z41" s="20"/>
    </row>
    <row r="42" spans="1:26" ht="15" customHeight="1">
      <c r="A42" s="20" t="s">
        <v>106</v>
      </c>
      <c r="B42" s="29" t="s">
        <v>107</v>
      </c>
      <c r="C42" s="20"/>
      <c r="D42" s="30">
        <v>46322</v>
      </c>
      <c r="E42" s="30">
        <v>46328</v>
      </c>
      <c r="F42" s="20">
        <f t="shared" si="1"/>
        <v>7</v>
      </c>
      <c r="G42" s="20"/>
      <c r="H42" s="20"/>
      <c r="I42" s="20"/>
      <c r="J42" s="20"/>
      <c r="K42" s="20"/>
      <c r="L42" s="20"/>
      <c r="M42" s="20"/>
      <c r="N42" s="35"/>
      <c r="O42" s="20"/>
      <c r="P42" s="20"/>
      <c r="Q42" s="20"/>
      <c r="R42" s="20"/>
      <c r="S42" s="20"/>
      <c r="T42" s="20"/>
      <c r="U42" s="20"/>
      <c r="V42" s="22"/>
      <c r="W42" s="20"/>
      <c r="X42" s="22"/>
      <c r="Y42" s="22"/>
      <c r="Z42" s="20"/>
    </row>
    <row r="43" spans="1:26" ht="15" customHeight="1">
      <c r="A43" s="20" t="s">
        <v>108</v>
      </c>
      <c r="B43" s="29" t="s">
        <v>109</v>
      </c>
      <c r="C43" s="20"/>
      <c r="D43" s="30">
        <v>46329</v>
      </c>
      <c r="E43" s="30">
        <v>46335</v>
      </c>
      <c r="F43" s="20">
        <f t="shared" si="1"/>
        <v>7</v>
      </c>
      <c r="G43" s="20"/>
      <c r="H43" s="20"/>
      <c r="I43" s="20"/>
      <c r="J43" s="20"/>
      <c r="K43" s="20"/>
      <c r="L43" s="20"/>
      <c r="M43" s="20"/>
      <c r="N43" s="20"/>
      <c r="O43" s="35"/>
      <c r="P43" s="20"/>
      <c r="Q43" s="20"/>
      <c r="R43" s="20"/>
      <c r="S43" s="20"/>
      <c r="T43" s="20"/>
      <c r="U43" s="20"/>
      <c r="V43" s="22"/>
      <c r="W43" s="20"/>
      <c r="X43" s="22"/>
      <c r="Y43" s="22"/>
      <c r="Z43" s="20"/>
    </row>
    <row r="44" spans="1:26" ht="18" customHeight="1">
      <c r="A44" s="24" t="s">
        <v>110</v>
      </c>
      <c r="B44" s="25" t="s">
        <v>111</v>
      </c>
      <c r="C44" s="24"/>
      <c r="D44" s="26">
        <v>46336</v>
      </c>
      <c r="E44" s="26">
        <v>46363</v>
      </c>
      <c r="F44" s="24">
        <f t="shared" si="1"/>
        <v>28</v>
      </c>
      <c r="G44" s="28"/>
      <c r="H44" s="28"/>
      <c r="I44" s="28"/>
      <c r="J44" s="28"/>
      <c r="K44" s="28"/>
      <c r="L44" s="28"/>
      <c r="M44" s="28"/>
      <c r="N44" s="28"/>
      <c r="O44" s="28"/>
      <c r="P44" s="36"/>
      <c r="Q44" s="36"/>
      <c r="R44" s="36"/>
      <c r="S44" s="36"/>
      <c r="T44" s="28"/>
      <c r="U44" s="28"/>
      <c r="V44" s="22"/>
      <c r="W44" s="28"/>
      <c r="X44" s="22"/>
      <c r="Y44" s="22"/>
      <c r="Z44" s="28"/>
    </row>
    <row r="45" spans="1:26" ht="15" customHeight="1">
      <c r="A45" s="20" t="s">
        <v>112</v>
      </c>
      <c r="B45" s="29" t="s">
        <v>113</v>
      </c>
      <c r="C45" s="20"/>
      <c r="D45" s="30">
        <v>46336</v>
      </c>
      <c r="E45" s="30">
        <v>46342</v>
      </c>
      <c r="F45" s="20">
        <f t="shared" si="1"/>
        <v>7</v>
      </c>
      <c r="G45" s="20"/>
      <c r="H45" s="20"/>
      <c r="I45" s="20"/>
      <c r="J45" s="20"/>
      <c r="K45" s="20"/>
      <c r="L45" s="20"/>
      <c r="M45" s="20"/>
      <c r="N45" s="20"/>
      <c r="O45" s="20"/>
      <c r="P45" s="37"/>
      <c r="Q45" s="20"/>
      <c r="R45" s="20"/>
      <c r="S45" s="20"/>
      <c r="T45" s="20"/>
      <c r="U45" s="20"/>
      <c r="V45" s="22"/>
      <c r="W45" s="20"/>
      <c r="X45" s="22"/>
      <c r="Y45" s="22"/>
      <c r="Z45" s="20"/>
    </row>
    <row r="46" spans="1:26" ht="15" customHeight="1">
      <c r="A46" s="20" t="s">
        <v>114</v>
      </c>
      <c r="B46" s="29" t="s">
        <v>115</v>
      </c>
      <c r="C46" s="20"/>
      <c r="D46" s="30">
        <v>46343</v>
      </c>
      <c r="E46" s="30">
        <v>46349</v>
      </c>
      <c r="F46" s="20">
        <f t="shared" si="1"/>
        <v>7</v>
      </c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37"/>
      <c r="R46" s="20"/>
      <c r="S46" s="20"/>
      <c r="T46" s="20"/>
      <c r="U46" s="20"/>
      <c r="V46" s="22"/>
      <c r="W46" s="20"/>
      <c r="X46" s="22"/>
      <c r="Y46" s="22"/>
      <c r="Z46" s="20"/>
    </row>
    <row r="47" spans="1:26" ht="15" customHeight="1">
      <c r="A47" s="20" t="s">
        <v>116</v>
      </c>
      <c r="B47" s="29" t="s">
        <v>117</v>
      </c>
      <c r="C47" s="20"/>
      <c r="D47" s="30">
        <v>46350</v>
      </c>
      <c r="E47" s="30">
        <v>46356</v>
      </c>
      <c r="F47" s="20">
        <f t="shared" si="1"/>
        <v>7</v>
      </c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37"/>
      <c r="S47" s="20"/>
      <c r="T47" s="20"/>
      <c r="U47" s="20"/>
      <c r="V47" s="22"/>
      <c r="W47" s="20"/>
      <c r="X47" s="22"/>
      <c r="Y47" s="22"/>
      <c r="Z47" s="20"/>
    </row>
    <row r="48" spans="1:26" ht="15" customHeight="1">
      <c r="A48" s="20" t="s">
        <v>118</v>
      </c>
      <c r="B48" s="29" t="s">
        <v>119</v>
      </c>
      <c r="C48" s="20"/>
      <c r="D48" s="30">
        <v>46350</v>
      </c>
      <c r="E48" s="30">
        <v>46356</v>
      </c>
      <c r="F48" s="20">
        <f t="shared" si="1"/>
        <v>7</v>
      </c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37"/>
      <c r="S48" s="20"/>
      <c r="T48" s="20"/>
      <c r="U48" s="20"/>
      <c r="V48" s="22"/>
      <c r="W48" s="20"/>
      <c r="X48" s="22"/>
      <c r="Y48" s="22"/>
      <c r="Z48" s="20"/>
    </row>
    <row r="49" spans="1:26" ht="15" customHeight="1">
      <c r="A49" s="20" t="s">
        <v>120</v>
      </c>
      <c r="B49" s="29" t="s">
        <v>121</v>
      </c>
      <c r="C49" s="20"/>
      <c r="D49" s="30">
        <v>46350</v>
      </c>
      <c r="E49" s="30">
        <v>46356</v>
      </c>
      <c r="F49" s="20">
        <f t="shared" si="1"/>
        <v>7</v>
      </c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37"/>
      <c r="S49" s="20"/>
      <c r="T49" s="20"/>
      <c r="U49" s="20"/>
      <c r="V49" s="22"/>
      <c r="W49" s="20"/>
      <c r="X49" s="22"/>
      <c r="Y49" s="22"/>
      <c r="Z49" s="20"/>
    </row>
    <row r="50" spans="1:26" ht="15" customHeight="1">
      <c r="A50" s="20" t="s">
        <v>122</v>
      </c>
      <c r="B50" s="29" t="s">
        <v>123</v>
      </c>
      <c r="C50" s="20"/>
      <c r="D50" s="30">
        <v>46357</v>
      </c>
      <c r="E50" s="30">
        <v>46363</v>
      </c>
      <c r="F50" s="20">
        <f t="shared" si="1"/>
        <v>7</v>
      </c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37"/>
      <c r="T50" s="20"/>
      <c r="U50" s="20"/>
      <c r="V50" s="22"/>
      <c r="W50" s="20"/>
      <c r="X50" s="22"/>
      <c r="Y50" s="22"/>
      <c r="Z50" s="20"/>
    </row>
    <row r="51" spans="1:26" ht="15" customHeight="1">
      <c r="A51" s="20" t="s">
        <v>124</v>
      </c>
      <c r="B51" s="29" t="s">
        <v>125</v>
      </c>
      <c r="C51" s="20"/>
      <c r="D51" s="30">
        <v>46357</v>
      </c>
      <c r="E51" s="30">
        <v>46363</v>
      </c>
      <c r="F51" s="20">
        <f t="shared" si="1"/>
        <v>7</v>
      </c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37"/>
      <c r="T51" s="20"/>
      <c r="U51" s="20"/>
      <c r="V51" s="22"/>
      <c r="W51" s="20"/>
      <c r="X51" s="22"/>
      <c r="Y51" s="22"/>
      <c r="Z51" s="20"/>
    </row>
    <row r="52" spans="1:26" ht="18" customHeight="1">
      <c r="A52" s="24" t="s">
        <v>126</v>
      </c>
      <c r="B52" s="25" t="s">
        <v>127</v>
      </c>
      <c r="C52" s="24"/>
      <c r="D52" s="26">
        <v>46357</v>
      </c>
      <c r="E52" s="26">
        <v>46412</v>
      </c>
      <c r="F52" s="24">
        <f t="shared" si="1"/>
        <v>56</v>
      </c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36"/>
      <c r="T52" s="36"/>
      <c r="U52" s="36"/>
      <c r="V52" s="36"/>
      <c r="W52" s="36"/>
      <c r="X52" s="36"/>
      <c r="Y52" s="36"/>
      <c r="Z52" s="36"/>
    </row>
    <row r="53" spans="1:26" ht="15" customHeight="1">
      <c r="A53" s="20" t="s">
        <v>128</v>
      </c>
      <c r="B53" s="29" t="s">
        <v>129</v>
      </c>
      <c r="C53" s="20"/>
      <c r="D53" s="30">
        <v>46357</v>
      </c>
      <c r="E53" s="30">
        <v>46363</v>
      </c>
      <c r="F53" s="20">
        <f t="shared" si="1"/>
        <v>7</v>
      </c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37"/>
      <c r="T53" s="20"/>
      <c r="U53" s="20"/>
      <c r="V53" s="22"/>
      <c r="W53" s="20"/>
      <c r="X53" s="22"/>
      <c r="Y53" s="22"/>
      <c r="Z53" s="20"/>
    </row>
    <row r="54" spans="1:26" ht="15" customHeight="1">
      <c r="A54" s="20" t="s">
        <v>130</v>
      </c>
      <c r="B54" s="29" t="s">
        <v>131</v>
      </c>
      <c r="C54" s="20"/>
      <c r="D54" s="30">
        <v>46364</v>
      </c>
      <c r="E54" s="30">
        <v>46377</v>
      </c>
      <c r="F54" s="20">
        <f t="shared" si="1"/>
        <v>14</v>
      </c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37"/>
      <c r="U54" s="37"/>
      <c r="V54" s="22"/>
      <c r="W54" s="20"/>
      <c r="X54" s="22"/>
      <c r="Y54" s="22"/>
      <c r="Z54" s="20"/>
    </row>
    <row r="55" spans="1:26" ht="15" customHeight="1">
      <c r="A55" s="20" t="s">
        <v>132</v>
      </c>
      <c r="B55" s="29" t="s">
        <v>133</v>
      </c>
      <c r="C55" s="20"/>
      <c r="D55" s="30">
        <v>46385</v>
      </c>
      <c r="E55" s="30">
        <v>46391</v>
      </c>
      <c r="F55" s="20">
        <f t="shared" si="1"/>
        <v>7</v>
      </c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2"/>
      <c r="W55" s="37"/>
      <c r="X55" s="22"/>
      <c r="Y55" s="22"/>
      <c r="Z55" s="20"/>
    </row>
    <row r="56" spans="1:26" ht="15" customHeight="1">
      <c r="A56" s="20" t="s">
        <v>134</v>
      </c>
      <c r="B56" s="29" t="s">
        <v>135</v>
      </c>
      <c r="C56" s="20"/>
      <c r="D56" s="30">
        <v>46406</v>
      </c>
      <c r="E56" s="30">
        <v>46412</v>
      </c>
      <c r="F56" s="20">
        <f t="shared" si="1"/>
        <v>7</v>
      </c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2"/>
      <c r="W56" s="20"/>
      <c r="X56" s="22"/>
      <c r="Y56" s="22"/>
      <c r="Z56" s="37"/>
    </row>
    <row r="58" spans="1:26" ht="15.75">
      <c r="A58" s="4" t="s">
        <v>136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38"/>
      <c r="B59" s="3" t="s">
        <v>137</v>
      </c>
      <c r="C59" s="3"/>
      <c r="D59" s="3"/>
      <c r="E59" s="3"/>
      <c r="F59" s="3"/>
    </row>
    <row r="60" spans="1:26">
      <c r="A60" s="39"/>
      <c r="B60" s="3" t="s">
        <v>138</v>
      </c>
      <c r="C60" s="3"/>
      <c r="D60" s="3"/>
      <c r="E60" s="3"/>
      <c r="F60" s="3"/>
    </row>
    <row r="61" spans="1:26">
      <c r="A61" s="40"/>
      <c r="B61" s="3" t="s">
        <v>139</v>
      </c>
      <c r="C61" s="3"/>
      <c r="D61" s="3"/>
      <c r="E61" s="3"/>
      <c r="F61" s="3"/>
    </row>
    <row r="62" spans="1:26">
      <c r="A62" s="41"/>
      <c r="B62" s="3" t="s">
        <v>140</v>
      </c>
      <c r="C62" s="3"/>
      <c r="D62" s="3"/>
      <c r="E62" s="3"/>
      <c r="F62" s="3"/>
    </row>
    <row r="63" spans="1:26">
      <c r="A63" s="42"/>
      <c r="B63" s="3" t="s">
        <v>141</v>
      </c>
      <c r="C63" s="3"/>
      <c r="D63" s="3"/>
      <c r="E63" s="3"/>
      <c r="F63" s="3"/>
    </row>
    <row r="64" spans="1:26">
      <c r="A64" s="74"/>
      <c r="B64" s="2"/>
      <c r="C64" s="2"/>
      <c r="D64" s="2"/>
      <c r="E64" s="2"/>
      <c r="F64" s="2"/>
    </row>
    <row r="66" spans="1:26" ht="3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</sheetData>
  <mergeCells count="19">
    <mergeCell ref="B61:F61"/>
    <mergeCell ref="B62:F62"/>
    <mergeCell ref="B63:F63"/>
    <mergeCell ref="B64:F64"/>
    <mergeCell ref="A66:Z66"/>
    <mergeCell ref="A5:Z5"/>
    <mergeCell ref="A14:Z14"/>
    <mergeCell ref="A58:Z58"/>
    <mergeCell ref="B59:F59"/>
    <mergeCell ref="B60:F60"/>
    <mergeCell ref="A1:Z1"/>
    <mergeCell ref="A2:Z2"/>
    <mergeCell ref="A3:F3"/>
    <mergeCell ref="G3:I3"/>
    <mergeCell ref="J3:L3"/>
    <mergeCell ref="M3:O3"/>
    <mergeCell ref="P3:S3"/>
    <mergeCell ref="T3:U3"/>
    <mergeCell ref="X3:Y3"/>
  </mergeCells>
  <pageMargins left="0.3" right="0.3" top="0.4" bottom="0.4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2A66B"/>
    <pageSetUpPr fitToPage="1"/>
  </sheetPr>
  <dimension ref="A1:J23"/>
  <sheetViews>
    <sheetView showGridLines="0" zoomScaleNormal="100" workbookViewId="0">
      <selection activeCell="B28" sqref="B28"/>
    </sheetView>
  </sheetViews>
  <sheetFormatPr defaultColWidth="8.7109375" defaultRowHeight="15"/>
  <cols>
    <col min="1" max="1" width="13" customWidth="1"/>
    <col min="2" max="2" width="52" customWidth="1"/>
    <col min="3" max="4" width="14" customWidth="1"/>
    <col min="5" max="5" width="30" customWidth="1"/>
    <col min="6" max="6" width="15" customWidth="1"/>
    <col min="7" max="7" width="11" customWidth="1"/>
    <col min="8" max="8" width="14" customWidth="1"/>
    <col min="9" max="9" width="26" customWidth="1"/>
    <col min="10" max="10" width="46" customWidth="1"/>
  </cols>
  <sheetData>
    <row r="1" spans="1:10" ht="18" customHeight="1">
      <c r="A1" s="43" t="s">
        <v>142</v>
      </c>
    </row>
    <row r="2" spans="1:10">
      <c r="A2" s="44" t="s">
        <v>143</v>
      </c>
    </row>
    <row r="4" spans="1:10" ht="33.75" customHeight="1">
      <c r="A4" s="45" t="s">
        <v>144</v>
      </c>
      <c r="B4" s="45" t="s">
        <v>145</v>
      </c>
      <c r="C4" s="45" t="s">
        <v>146</v>
      </c>
      <c r="D4" s="45" t="s">
        <v>147</v>
      </c>
      <c r="E4" s="45" t="s">
        <v>148</v>
      </c>
      <c r="F4" s="45" t="s">
        <v>149</v>
      </c>
      <c r="G4" s="45" t="s">
        <v>150</v>
      </c>
      <c r="H4" s="45" t="s">
        <v>151</v>
      </c>
      <c r="I4" s="45" t="s">
        <v>152</v>
      </c>
      <c r="J4" s="45" t="s">
        <v>153</v>
      </c>
    </row>
    <row r="5" spans="1:10" ht="31.5" customHeight="1">
      <c r="A5" s="46" t="s">
        <v>3</v>
      </c>
      <c r="B5" s="47" t="s">
        <v>154</v>
      </c>
      <c r="C5" s="48" t="s">
        <v>155</v>
      </c>
      <c r="D5" s="48" t="s">
        <v>156</v>
      </c>
      <c r="E5" s="48" t="s">
        <v>157</v>
      </c>
      <c r="F5" s="48">
        <v>3</v>
      </c>
      <c r="G5" s="48">
        <f>COUNTIFS('ข้อมูล WBS'!$B$2:$B$43,"ย่อย",'ข้อมูล WBS'!$F$2:$F$43,$A5)</f>
        <v>6</v>
      </c>
      <c r="H5" s="48">
        <f>SUMIFS('ข้อมูล WBS'!$D$2:$D$43,'ข้อมูล WBS'!$B$2:$B$43,"ย่อย",'ข้อมูล WBS'!$F$2:$F$43,$A5)</f>
        <v>18</v>
      </c>
      <c r="I5" s="49" t="s">
        <v>158</v>
      </c>
      <c r="J5" s="47" t="s">
        <v>159</v>
      </c>
    </row>
    <row r="6" spans="1:10" ht="31.5" customHeight="1">
      <c r="A6" s="50" t="s">
        <v>4</v>
      </c>
      <c r="B6" s="47" t="s">
        <v>160</v>
      </c>
      <c r="C6" s="48" t="s">
        <v>161</v>
      </c>
      <c r="D6" s="48" t="s">
        <v>162</v>
      </c>
      <c r="E6" s="48" t="s">
        <v>163</v>
      </c>
      <c r="F6" s="48">
        <v>4</v>
      </c>
      <c r="G6" s="48">
        <f>COUNTIFS('ข้อมูล WBS'!$B$2:$B$43,"ย่อย",'ข้อมูล WBS'!$F$2:$F$43,$A6)</f>
        <v>11</v>
      </c>
      <c r="H6" s="48">
        <f>SUMIFS('ข้อมูล WBS'!$D$2:$D$43,'ข้อมูล WBS'!$B$2:$B$43,"ย่อย",'ข้อมูล WBS'!$F$2:$F$43,$A6)</f>
        <v>29</v>
      </c>
      <c r="I6" s="49" t="s">
        <v>164</v>
      </c>
      <c r="J6" s="47" t="s">
        <v>165</v>
      </c>
    </row>
    <row r="7" spans="1:10" ht="31.5" customHeight="1">
      <c r="A7" s="51" t="s">
        <v>5</v>
      </c>
      <c r="B7" s="47" t="s">
        <v>166</v>
      </c>
      <c r="C7" s="48" t="s">
        <v>167</v>
      </c>
      <c r="D7" s="48" t="s">
        <v>168</v>
      </c>
      <c r="E7" s="48" t="s">
        <v>169</v>
      </c>
      <c r="F7" s="48">
        <v>5</v>
      </c>
      <c r="G7" s="48">
        <f>COUNTIFS('ข้อมูล WBS'!$B$2:$B$43,"ย่อย",'ข้อมูล WBS'!$F$2:$F$43,$A7)</f>
        <v>9</v>
      </c>
      <c r="H7" s="48">
        <f>SUMIFS('ข้อมูล WBS'!$D$2:$D$43,'ข้อมูล WBS'!$B$2:$B$43,"ย่อย",'ข้อมูล WBS'!$F$2:$F$43,$A7)</f>
        <v>35</v>
      </c>
      <c r="I7" s="49" t="s">
        <v>170</v>
      </c>
      <c r="J7" s="47" t="s">
        <v>171</v>
      </c>
    </row>
    <row r="8" spans="1:10" ht="31.5" customHeight="1">
      <c r="A8" s="52" t="s">
        <v>172</v>
      </c>
      <c r="B8" s="47" t="s">
        <v>173</v>
      </c>
      <c r="C8" s="48" t="s">
        <v>174</v>
      </c>
      <c r="D8" s="48" t="s">
        <v>175</v>
      </c>
      <c r="E8" s="48" t="s">
        <v>176</v>
      </c>
      <c r="F8" s="48">
        <v>4</v>
      </c>
      <c r="G8" s="48">
        <f>COUNTIFS('ข้อมูล WBS'!$B$2:$B$43,"ย่อย",'ข้อมูล WBS'!$F$2:$F$43,$A8)</f>
        <v>8</v>
      </c>
      <c r="H8" s="48">
        <f>SUMIFS('ข้อมูล WBS'!$D$2:$D$43,'ข้อมูล WBS'!$B$2:$B$43,"ย่อย",'ข้อมูล WBS'!$F$2:$F$43,$A8)</f>
        <v>17</v>
      </c>
      <c r="I8" s="49" t="s">
        <v>177</v>
      </c>
      <c r="J8" s="47" t="s">
        <v>178</v>
      </c>
    </row>
    <row r="9" spans="1:10" ht="31.5" customHeight="1">
      <c r="A9" s="52" t="s">
        <v>179</v>
      </c>
      <c r="B9" s="47" t="s">
        <v>180</v>
      </c>
      <c r="C9" s="48" t="s">
        <v>181</v>
      </c>
      <c r="D9" s="48" t="s">
        <v>182</v>
      </c>
      <c r="E9" s="48" t="s">
        <v>183</v>
      </c>
      <c r="F9" s="48">
        <v>4</v>
      </c>
      <c r="G9" s="48">
        <f>COUNTIFS('ข้อมูล WBS'!$B$2:$B$43,"ย่อย",'ข้อมูล WBS'!$F$2:$F$43,$A9)</f>
        <v>3</v>
      </c>
      <c r="H9" s="48">
        <f>SUMIFS('ข้อมูล WBS'!$D$2:$D$43,'ข้อมูล WBS'!$B$2:$B$43,"ย่อย",'ข้อมูล WBS'!$F$2:$F$43,$A9)</f>
        <v>3</v>
      </c>
      <c r="I9" s="49" t="s">
        <v>184</v>
      </c>
      <c r="J9" s="47" t="s">
        <v>185</v>
      </c>
    </row>
    <row r="10" spans="1:10">
      <c r="A10" s="53" t="s">
        <v>186</v>
      </c>
      <c r="B10" s="54" t="s">
        <v>187</v>
      </c>
      <c r="C10" s="53"/>
      <c r="D10" s="53"/>
      <c r="E10" s="53"/>
      <c r="F10" s="53">
        <f>SUM(F5:F9)</f>
        <v>20</v>
      </c>
      <c r="G10" s="53">
        <f>SUM(G5:G9)</f>
        <v>37</v>
      </c>
      <c r="H10" s="53">
        <f>SUM(H5:H9)</f>
        <v>102</v>
      </c>
      <c r="I10" s="53"/>
      <c r="J10" s="53"/>
    </row>
    <row r="12" spans="1:10">
      <c r="A12" s="55" t="s">
        <v>188</v>
      </c>
    </row>
    <row r="13" spans="1:10" ht="30" customHeight="1">
      <c r="A13" s="45" t="s">
        <v>189</v>
      </c>
      <c r="B13" s="45" t="s">
        <v>190</v>
      </c>
      <c r="C13" s="45" t="s">
        <v>191</v>
      </c>
      <c r="D13" s="45" t="s">
        <v>192</v>
      </c>
      <c r="E13" s="45" t="s">
        <v>193</v>
      </c>
    </row>
    <row r="14" spans="1:10">
      <c r="A14" s="56">
        <v>1</v>
      </c>
      <c r="B14" s="48">
        <f>SUMIFS('ข้อมูล WBS'!$D$2:$D$43,'ข้อมูล WBS'!$B$2:$B$43,"งานหลัก",'ข้อมูล WBS'!$E$2:$E$43,$A14)</f>
        <v>18</v>
      </c>
      <c r="C14" s="48">
        <f>SUMIFS('ข้อมูล WBS'!$D$2:$D$43,'ข้อมูล WBS'!$B$2:$B$43,"ย่อย",'ข้อมูล WBS'!$E$2:$E$43,$A14)</f>
        <v>18</v>
      </c>
      <c r="D14" s="48">
        <f>C14-B14</f>
        <v>0</v>
      </c>
      <c r="E14" s="48" t="str">
        <f>IF(D14=0,"✔ ตรงกัน","⚠ ไม่ตรง — ตรวจสอบ WBS")</f>
        <v>✔ ตรงกัน</v>
      </c>
    </row>
    <row r="15" spans="1:10">
      <c r="A15" s="56">
        <v>2</v>
      </c>
      <c r="B15" s="48">
        <f>SUMIFS('ข้อมูล WBS'!$D$2:$D$43,'ข้อมูล WBS'!$B$2:$B$43,"งานหลัก",'ข้อมูล WBS'!$E$2:$E$43,$A15)</f>
        <v>27</v>
      </c>
      <c r="C15" s="48">
        <f>SUMIFS('ข้อมูล WBS'!$D$2:$D$43,'ข้อมูล WBS'!$B$2:$B$43,"ย่อย",'ข้อมูล WBS'!$E$2:$E$43,$A15)</f>
        <v>29</v>
      </c>
      <c r="D15" s="48">
        <f>C15-B15</f>
        <v>2</v>
      </c>
      <c r="E15" s="48"/>
    </row>
    <row r="16" spans="1:10">
      <c r="A16" s="56">
        <v>3</v>
      </c>
      <c r="B16" s="48">
        <f>SUMIFS('ข้อมูล WBS'!$D$2:$D$43,'ข้อมูล WBS'!$B$2:$B$43,"งานหลัก",'ข้อมูล WBS'!$E$2:$E$43,$A16)</f>
        <v>35</v>
      </c>
      <c r="C16" s="48">
        <f>SUMIFS('ข้อมูล WBS'!$D$2:$D$43,'ข้อมูล WBS'!$B$2:$B$43,"ย่อย",'ข้อมูล WBS'!$E$2:$E$43,$A16)</f>
        <v>35</v>
      </c>
      <c r="D16" s="48">
        <f>C16-B16</f>
        <v>0</v>
      </c>
      <c r="E16" s="48" t="str">
        <f>IF(D16=0,"✔ ตรงกัน","⚠ ไม่ตรง — ตรวจสอบ WBS")</f>
        <v>✔ ตรงกัน</v>
      </c>
    </row>
    <row r="17" spans="1:5">
      <c r="A17" s="56">
        <v>4</v>
      </c>
      <c r="B17" s="48">
        <f>SUMIFS('ข้อมูล WBS'!$D$2:$D$43,'ข้อมูล WBS'!$B$2:$B$43,"งานหลัก",'ข้อมูล WBS'!$E$2:$E$43,$A17)</f>
        <v>15</v>
      </c>
      <c r="C17" s="48">
        <f>SUMIFS('ข้อมูล WBS'!$D$2:$D$43,'ข้อมูล WBS'!$B$2:$B$43,"ย่อย",'ข้อมูล WBS'!$E$2:$E$43,$A17)</f>
        <v>15</v>
      </c>
      <c r="D17" s="48">
        <f>C17-B17</f>
        <v>0</v>
      </c>
      <c r="E17" s="48" t="str">
        <f>IF(D17=0,"✔ ตรงกัน","⚠ ไม่ตรง — ตรวจสอบ WBS")</f>
        <v>✔ ตรงกัน</v>
      </c>
    </row>
    <row r="18" spans="1:5">
      <c r="A18" s="53" t="s">
        <v>186</v>
      </c>
      <c r="B18" s="53">
        <f>SUM(B14:B17)</f>
        <v>95</v>
      </c>
      <c r="C18" s="53">
        <f>SUM(C14:C17)</f>
        <v>97</v>
      </c>
      <c r="D18" s="53">
        <f>C18-B18</f>
        <v>2</v>
      </c>
      <c r="E18" s="53"/>
    </row>
    <row r="19" spans="1:5">
      <c r="A19" s="57"/>
    </row>
    <row r="21" spans="1:5">
      <c r="A21" s="58"/>
    </row>
    <row r="22" spans="1:5">
      <c r="A22" s="59"/>
    </row>
    <row r="23" spans="1:5">
      <c r="A23" s="59"/>
    </row>
  </sheetData>
  <conditionalFormatting sqref="D14:D18">
    <cfRule type="cellIs" dxfId="1" priority="2" operator="notEqual">
      <formula>0</formula>
    </cfRule>
  </conditionalFormatting>
  <conditionalFormatting sqref="E14:E18">
    <cfRule type="expression" dxfId="0" priority="3">
      <formula>$D14&lt;&gt;0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7F7F"/>
    <pageSetUpPr fitToPage="1"/>
  </sheetPr>
  <dimension ref="A1:L4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2" width="10" customWidth="1"/>
    <col min="3" max="3" width="52" customWidth="1"/>
    <col min="4" max="4" width="6" customWidth="1"/>
    <col min="5" max="5" width="11" customWidth="1"/>
    <col min="6" max="6" width="12" customWidth="1"/>
    <col min="7" max="7" width="34" customWidth="1"/>
    <col min="8" max="8" width="12" customWidth="1"/>
    <col min="9" max="9" width="11" customWidth="1"/>
    <col min="10" max="12" width="13" customWidth="1"/>
  </cols>
  <sheetData>
    <row r="1" spans="1:12" ht="21.75" customHeight="1">
      <c r="A1" s="45" t="s">
        <v>194</v>
      </c>
      <c r="B1" s="45" t="s">
        <v>195</v>
      </c>
      <c r="C1" s="45" t="s">
        <v>196</v>
      </c>
      <c r="D1" s="45" t="s">
        <v>197</v>
      </c>
      <c r="E1" s="45" t="s">
        <v>189</v>
      </c>
      <c r="F1" s="45" t="s">
        <v>144</v>
      </c>
      <c r="G1" s="45" t="s">
        <v>198</v>
      </c>
      <c r="H1" s="45" t="s">
        <v>199</v>
      </c>
      <c r="I1" s="45" t="s">
        <v>200</v>
      </c>
      <c r="J1" s="45" t="s">
        <v>147</v>
      </c>
      <c r="K1" s="45" t="s">
        <v>148</v>
      </c>
      <c r="L1" s="45" t="s">
        <v>201</v>
      </c>
    </row>
    <row r="2" spans="1:12">
      <c r="A2" s="60" t="s">
        <v>52</v>
      </c>
      <c r="B2" s="60" t="s">
        <v>202</v>
      </c>
      <c r="C2" s="61" t="s">
        <v>53</v>
      </c>
      <c r="D2" s="60">
        <v>18</v>
      </c>
      <c r="E2" s="60">
        <v>1</v>
      </c>
      <c r="F2" s="60" t="s">
        <v>3</v>
      </c>
      <c r="G2" s="61" t="s">
        <v>159</v>
      </c>
      <c r="H2" s="60">
        <v>1</v>
      </c>
      <c r="I2" s="60">
        <v>3</v>
      </c>
      <c r="J2" s="62">
        <v>46273</v>
      </c>
      <c r="K2" s="62">
        <v>46293</v>
      </c>
      <c r="L2" s="60">
        <v>3</v>
      </c>
    </row>
    <row r="3" spans="1:12">
      <c r="A3" s="48" t="s">
        <v>54</v>
      </c>
      <c r="B3" s="48" t="s">
        <v>203</v>
      </c>
      <c r="C3" s="49" t="s">
        <v>55</v>
      </c>
      <c r="D3" s="48">
        <v>3</v>
      </c>
      <c r="E3" s="48">
        <v>1</v>
      </c>
      <c r="F3" s="48" t="s">
        <v>3</v>
      </c>
      <c r="G3" s="49" t="s">
        <v>204</v>
      </c>
      <c r="H3" s="48">
        <v>1</v>
      </c>
      <c r="I3" s="48">
        <v>1</v>
      </c>
      <c r="J3" s="63">
        <v>46273</v>
      </c>
      <c r="K3" s="63">
        <v>46279</v>
      </c>
      <c r="L3" s="48">
        <v>1</v>
      </c>
    </row>
    <row r="4" spans="1:12">
      <c r="A4" s="48" t="s">
        <v>56</v>
      </c>
      <c r="B4" s="48" t="s">
        <v>203</v>
      </c>
      <c r="C4" s="49" t="s">
        <v>57</v>
      </c>
      <c r="D4" s="48">
        <v>3</v>
      </c>
      <c r="E4" s="48">
        <v>1</v>
      </c>
      <c r="F4" s="48" t="s">
        <v>3</v>
      </c>
      <c r="G4" s="49" t="s">
        <v>205</v>
      </c>
      <c r="H4" s="48">
        <v>1</v>
      </c>
      <c r="I4" s="48">
        <v>1</v>
      </c>
      <c r="J4" s="63">
        <v>46273</v>
      </c>
      <c r="K4" s="63">
        <v>46279</v>
      </c>
      <c r="L4" s="48">
        <v>1</v>
      </c>
    </row>
    <row r="5" spans="1:12">
      <c r="A5" s="48" t="s">
        <v>58</v>
      </c>
      <c r="B5" s="48" t="s">
        <v>203</v>
      </c>
      <c r="C5" s="49" t="s">
        <v>59</v>
      </c>
      <c r="D5" s="48">
        <v>4</v>
      </c>
      <c r="E5" s="48">
        <v>1</v>
      </c>
      <c r="F5" s="48" t="s">
        <v>3</v>
      </c>
      <c r="G5" s="49" t="s">
        <v>206</v>
      </c>
      <c r="H5" s="48">
        <v>2</v>
      </c>
      <c r="I5" s="48">
        <v>2</v>
      </c>
      <c r="J5" s="63">
        <v>46280</v>
      </c>
      <c r="K5" s="63">
        <v>46286</v>
      </c>
      <c r="L5" s="48">
        <v>1</v>
      </c>
    </row>
    <row r="6" spans="1:12">
      <c r="A6" s="48" t="s">
        <v>60</v>
      </c>
      <c r="B6" s="48" t="s">
        <v>203</v>
      </c>
      <c r="C6" s="49" t="s">
        <v>61</v>
      </c>
      <c r="D6" s="48">
        <v>3</v>
      </c>
      <c r="E6" s="48">
        <v>1</v>
      </c>
      <c r="F6" s="48" t="s">
        <v>3</v>
      </c>
      <c r="G6" s="49" t="s">
        <v>207</v>
      </c>
      <c r="H6" s="48">
        <v>2</v>
      </c>
      <c r="I6" s="48">
        <v>2</v>
      </c>
      <c r="J6" s="63">
        <v>46280</v>
      </c>
      <c r="K6" s="63">
        <v>46286</v>
      </c>
      <c r="L6" s="48">
        <v>1</v>
      </c>
    </row>
    <row r="7" spans="1:12">
      <c r="A7" s="48" t="s">
        <v>62</v>
      </c>
      <c r="B7" s="48" t="s">
        <v>203</v>
      </c>
      <c r="C7" s="49" t="s">
        <v>63</v>
      </c>
      <c r="D7" s="48">
        <v>3</v>
      </c>
      <c r="E7" s="48">
        <v>1</v>
      </c>
      <c r="F7" s="48" t="s">
        <v>3</v>
      </c>
      <c r="G7" s="49" t="s">
        <v>208</v>
      </c>
      <c r="H7" s="48">
        <v>3</v>
      </c>
      <c r="I7" s="48">
        <v>3</v>
      </c>
      <c r="J7" s="63">
        <v>46287</v>
      </c>
      <c r="K7" s="63">
        <v>46293</v>
      </c>
      <c r="L7" s="48">
        <v>1</v>
      </c>
    </row>
    <row r="8" spans="1:12">
      <c r="A8" s="48" t="s">
        <v>64</v>
      </c>
      <c r="B8" s="48" t="s">
        <v>203</v>
      </c>
      <c r="C8" s="49" t="s">
        <v>65</v>
      </c>
      <c r="D8" s="48">
        <v>2</v>
      </c>
      <c r="E8" s="48">
        <v>1</v>
      </c>
      <c r="F8" s="48" t="s">
        <v>3</v>
      </c>
      <c r="G8" s="49" t="s">
        <v>209</v>
      </c>
      <c r="H8" s="48">
        <v>3</v>
      </c>
      <c r="I8" s="48">
        <v>3</v>
      </c>
      <c r="J8" s="63">
        <v>46287</v>
      </c>
      <c r="K8" s="63">
        <v>46293</v>
      </c>
      <c r="L8" s="48">
        <v>1</v>
      </c>
    </row>
    <row r="9" spans="1:12">
      <c r="A9" s="64" t="s">
        <v>66</v>
      </c>
      <c r="B9" s="64" t="s">
        <v>202</v>
      </c>
      <c r="C9" s="65" t="s">
        <v>67</v>
      </c>
      <c r="D9" s="64">
        <v>27</v>
      </c>
      <c r="E9" s="64">
        <v>2</v>
      </c>
      <c r="F9" s="64" t="s">
        <v>4</v>
      </c>
      <c r="G9" s="65" t="s">
        <v>165</v>
      </c>
      <c r="H9" s="64">
        <v>3</v>
      </c>
      <c r="I9" s="64">
        <v>6</v>
      </c>
      <c r="J9" s="66">
        <v>46287</v>
      </c>
      <c r="K9" s="66">
        <v>46314</v>
      </c>
      <c r="L9" s="64">
        <v>4</v>
      </c>
    </row>
    <row r="10" spans="1:12">
      <c r="A10" s="48" t="s">
        <v>68</v>
      </c>
      <c r="B10" s="48" t="s">
        <v>203</v>
      </c>
      <c r="C10" s="49" t="s">
        <v>69</v>
      </c>
      <c r="D10" s="48">
        <v>5</v>
      </c>
      <c r="E10" s="48">
        <v>2</v>
      </c>
      <c r="F10" s="48" t="s">
        <v>4</v>
      </c>
      <c r="G10" s="49" t="s">
        <v>210</v>
      </c>
      <c r="H10" s="48">
        <v>3</v>
      </c>
      <c r="I10" s="48">
        <v>3</v>
      </c>
      <c r="J10" s="63">
        <v>46287</v>
      </c>
      <c r="K10" s="63">
        <v>46293</v>
      </c>
      <c r="L10" s="48">
        <v>1</v>
      </c>
    </row>
    <row r="11" spans="1:12">
      <c r="A11" s="48" t="s">
        <v>70</v>
      </c>
      <c r="B11" s="48" t="s">
        <v>203</v>
      </c>
      <c r="C11" s="49" t="s">
        <v>71</v>
      </c>
      <c r="D11" s="48">
        <v>4</v>
      </c>
      <c r="E11" s="48">
        <v>2</v>
      </c>
      <c r="F11" s="48" t="s">
        <v>4</v>
      </c>
      <c r="G11" s="49" t="s">
        <v>211</v>
      </c>
      <c r="H11" s="48">
        <v>4</v>
      </c>
      <c r="I11" s="48">
        <v>4</v>
      </c>
      <c r="J11" s="63">
        <v>46294</v>
      </c>
      <c r="K11" s="63">
        <v>46300</v>
      </c>
      <c r="L11" s="48">
        <v>1</v>
      </c>
    </row>
    <row r="12" spans="1:12">
      <c r="A12" s="48" t="s">
        <v>72</v>
      </c>
      <c r="B12" s="48" t="s">
        <v>203</v>
      </c>
      <c r="C12" s="49" t="s">
        <v>73</v>
      </c>
      <c r="D12" s="48">
        <v>4</v>
      </c>
      <c r="E12" s="48">
        <v>2</v>
      </c>
      <c r="F12" s="48" t="s">
        <v>4</v>
      </c>
      <c r="G12" s="49" t="s">
        <v>212</v>
      </c>
      <c r="H12" s="48">
        <v>4</v>
      </c>
      <c r="I12" s="48">
        <v>4</v>
      </c>
      <c r="J12" s="63">
        <v>46294</v>
      </c>
      <c r="K12" s="63">
        <v>46300</v>
      </c>
      <c r="L12" s="48">
        <v>1</v>
      </c>
    </row>
    <row r="13" spans="1:12">
      <c r="A13" s="48" t="s">
        <v>74</v>
      </c>
      <c r="B13" s="48" t="s">
        <v>203</v>
      </c>
      <c r="C13" s="49" t="s">
        <v>75</v>
      </c>
      <c r="D13" s="48">
        <v>2</v>
      </c>
      <c r="E13" s="48">
        <v>2</v>
      </c>
      <c r="F13" s="48" t="s">
        <v>4</v>
      </c>
      <c r="G13" s="49" t="s">
        <v>213</v>
      </c>
      <c r="H13" s="48">
        <v>4</v>
      </c>
      <c r="I13" s="48">
        <v>4</v>
      </c>
      <c r="J13" s="63">
        <v>46294</v>
      </c>
      <c r="K13" s="63">
        <v>46300</v>
      </c>
      <c r="L13" s="48">
        <v>1</v>
      </c>
    </row>
    <row r="14" spans="1:12">
      <c r="A14" s="48" t="s">
        <v>76</v>
      </c>
      <c r="B14" s="48" t="s">
        <v>203</v>
      </c>
      <c r="C14" s="49" t="s">
        <v>77</v>
      </c>
      <c r="D14" s="48">
        <v>3</v>
      </c>
      <c r="E14" s="48">
        <v>2</v>
      </c>
      <c r="F14" s="48" t="s">
        <v>4</v>
      </c>
      <c r="G14" s="49" t="s">
        <v>214</v>
      </c>
      <c r="H14" s="48">
        <v>5</v>
      </c>
      <c r="I14" s="48">
        <v>5</v>
      </c>
      <c r="J14" s="63">
        <v>46301</v>
      </c>
      <c r="K14" s="63">
        <v>46307</v>
      </c>
      <c r="L14" s="48">
        <v>1</v>
      </c>
    </row>
    <row r="15" spans="1:12">
      <c r="A15" s="48" t="s">
        <v>78</v>
      </c>
      <c r="B15" s="48" t="s">
        <v>203</v>
      </c>
      <c r="C15" s="49" t="s">
        <v>79</v>
      </c>
      <c r="D15" s="48">
        <v>2</v>
      </c>
      <c r="E15" s="48">
        <v>2</v>
      </c>
      <c r="F15" s="48" t="s">
        <v>4</v>
      </c>
      <c r="G15" s="49" t="s">
        <v>215</v>
      </c>
      <c r="H15" s="48">
        <v>5</v>
      </c>
      <c r="I15" s="48">
        <v>5</v>
      </c>
      <c r="J15" s="63">
        <v>46301</v>
      </c>
      <c r="K15" s="63">
        <v>46307</v>
      </c>
      <c r="L15" s="48">
        <v>1</v>
      </c>
    </row>
    <row r="16" spans="1:12">
      <c r="A16" s="48" t="s">
        <v>80</v>
      </c>
      <c r="B16" s="48" t="s">
        <v>203</v>
      </c>
      <c r="C16" s="49" t="s">
        <v>81</v>
      </c>
      <c r="D16" s="48">
        <v>2</v>
      </c>
      <c r="E16" s="48">
        <v>2</v>
      </c>
      <c r="F16" s="48" t="s">
        <v>4</v>
      </c>
      <c r="G16" s="49" t="s">
        <v>216</v>
      </c>
      <c r="H16" s="48">
        <v>6</v>
      </c>
      <c r="I16" s="48">
        <v>6</v>
      </c>
      <c r="J16" s="63">
        <v>46308</v>
      </c>
      <c r="K16" s="63">
        <v>46314</v>
      </c>
      <c r="L16" s="48">
        <v>1</v>
      </c>
    </row>
    <row r="17" spans="1:12">
      <c r="A17" s="48" t="s">
        <v>82</v>
      </c>
      <c r="B17" s="48" t="s">
        <v>203</v>
      </c>
      <c r="C17" s="49" t="s">
        <v>83</v>
      </c>
      <c r="D17" s="48">
        <v>2</v>
      </c>
      <c r="E17" s="48">
        <v>2</v>
      </c>
      <c r="F17" s="48" t="s">
        <v>4</v>
      </c>
      <c r="G17" s="49" t="s">
        <v>217</v>
      </c>
      <c r="H17" s="48">
        <v>5</v>
      </c>
      <c r="I17" s="48">
        <v>5</v>
      </c>
      <c r="J17" s="63">
        <v>46301</v>
      </c>
      <c r="K17" s="63">
        <v>46307</v>
      </c>
      <c r="L17" s="48">
        <v>1</v>
      </c>
    </row>
    <row r="18" spans="1:12">
      <c r="A18" s="48" t="s">
        <v>84</v>
      </c>
      <c r="B18" s="48" t="s">
        <v>203</v>
      </c>
      <c r="C18" s="49" t="s">
        <v>85</v>
      </c>
      <c r="D18" s="48">
        <v>1</v>
      </c>
      <c r="E18" s="48">
        <v>2</v>
      </c>
      <c r="F18" s="48" t="s">
        <v>4</v>
      </c>
      <c r="G18" s="49" t="s">
        <v>218</v>
      </c>
      <c r="H18" s="48">
        <v>6</v>
      </c>
      <c r="I18" s="48">
        <v>6</v>
      </c>
      <c r="J18" s="63">
        <v>46308</v>
      </c>
      <c r="K18" s="63">
        <v>46314</v>
      </c>
      <c r="L18" s="48">
        <v>1</v>
      </c>
    </row>
    <row r="19" spans="1:12">
      <c r="A19" s="48" t="s">
        <v>86</v>
      </c>
      <c r="B19" s="48" t="s">
        <v>203</v>
      </c>
      <c r="C19" s="49" t="s">
        <v>87</v>
      </c>
      <c r="D19" s="48">
        <v>2</v>
      </c>
      <c r="E19" s="48">
        <v>2</v>
      </c>
      <c r="F19" s="48" t="s">
        <v>4</v>
      </c>
      <c r="G19" s="49" t="s">
        <v>219</v>
      </c>
      <c r="H19" s="48">
        <v>5</v>
      </c>
      <c r="I19" s="48">
        <v>5</v>
      </c>
      <c r="J19" s="63">
        <v>46301</v>
      </c>
      <c r="K19" s="63">
        <v>46307</v>
      </c>
      <c r="L19" s="48">
        <v>1</v>
      </c>
    </row>
    <row r="20" spans="1:12">
      <c r="A20" s="48" t="s">
        <v>88</v>
      </c>
      <c r="B20" s="48" t="s">
        <v>203</v>
      </c>
      <c r="C20" s="49" t="s">
        <v>89</v>
      </c>
      <c r="D20" s="48">
        <v>2</v>
      </c>
      <c r="E20" s="48">
        <v>2</v>
      </c>
      <c r="F20" s="48" t="s">
        <v>4</v>
      </c>
      <c r="G20" s="49" t="s">
        <v>220</v>
      </c>
      <c r="H20" s="48">
        <v>6</v>
      </c>
      <c r="I20" s="48">
        <v>6</v>
      </c>
      <c r="J20" s="63">
        <v>46308</v>
      </c>
      <c r="K20" s="63">
        <v>46314</v>
      </c>
      <c r="L20" s="48">
        <v>1</v>
      </c>
    </row>
    <row r="21" spans="1:12">
      <c r="A21" s="67" t="s">
        <v>90</v>
      </c>
      <c r="B21" s="67" t="s">
        <v>202</v>
      </c>
      <c r="C21" s="68" t="s">
        <v>91</v>
      </c>
      <c r="D21" s="67">
        <v>35</v>
      </c>
      <c r="E21" s="67">
        <v>3</v>
      </c>
      <c r="F21" s="67" t="s">
        <v>5</v>
      </c>
      <c r="G21" s="68" t="s">
        <v>171</v>
      </c>
      <c r="H21" s="67">
        <v>5</v>
      </c>
      <c r="I21" s="67">
        <v>9</v>
      </c>
      <c r="J21" s="69">
        <v>46301</v>
      </c>
      <c r="K21" s="69">
        <v>46335</v>
      </c>
      <c r="L21" s="67">
        <v>5</v>
      </c>
    </row>
    <row r="22" spans="1:12">
      <c r="A22" s="48" t="s">
        <v>92</v>
      </c>
      <c r="B22" s="48" t="s">
        <v>203</v>
      </c>
      <c r="C22" s="49" t="s">
        <v>93</v>
      </c>
      <c r="D22" s="48">
        <v>4</v>
      </c>
      <c r="E22" s="48">
        <v>3</v>
      </c>
      <c r="F22" s="48" t="s">
        <v>5</v>
      </c>
      <c r="G22" s="49" t="s">
        <v>221</v>
      </c>
      <c r="H22" s="48">
        <v>5</v>
      </c>
      <c r="I22" s="48">
        <v>5</v>
      </c>
      <c r="J22" s="63">
        <v>46301</v>
      </c>
      <c r="K22" s="63">
        <v>46307</v>
      </c>
      <c r="L22" s="48">
        <v>1</v>
      </c>
    </row>
    <row r="23" spans="1:12">
      <c r="A23" s="48" t="s">
        <v>94</v>
      </c>
      <c r="B23" s="48" t="s">
        <v>203</v>
      </c>
      <c r="C23" s="49" t="s">
        <v>95</v>
      </c>
      <c r="D23" s="48">
        <v>6</v>
      </c>
      <c r="E23" s="48">
        <v>3</v>
      </c>
      <c r="F23" s="48" t="s">
        <v>5</v>
      </c>
      <c r="G23" s="49" t="s">
        <v>222</v>
      </c>
      <c r="H23" s="48">
        <v>5</v>
      </c>
      <c r="I23" s="48">
        <v>5</v>
      </c>
      <c r="J23" s="63">
        <v>46301</v>
      </c>
      <c r="K23" s="63">
        <v>46307</v>
      </c>
      <c r="L23" s="48">
        <v>1</v>
      </c>
    </row>
    <row r="24" spans="1:12">
      <c r="A24" s="48" t="s">
        <v>96</v>
      </c>
      <c r="B24" s="48" t="s">
        <v>203</v>
      </c>
      <c r="C24" s="49" t="s">
        <v>97</v>
      </c>
      <c r="D24" s="48">
        <v>4</v>
      </c>
      <c r="E24" s="48">
        <v>3</v>
      </c>
      <c r="F24" s="48" t="s">
        <v>5</v>
      </c>
      <c r="G24" s="49" t="s">
        <v>223</v>
      </c>
      <c r="H24" s="48">
        <v>5</v>
      </c>
      <c r="I24" s="48">
        <v>5</v>
      </c>
      <c r="J24" s="63">
        <v>46301</v>
      </c>
      <c r="K24" s="63">
        <v>46307</v>
      </c>
      <c r="L24" s="48">
        <v>1</v>
      </c>
    </row>
    <row r="25" spans="1:12">
      <c r="A25" s="48" t="s">
        <v>98</v>
      </c>
      <c r="B25" s="48" t="s">
        <v>203</v>
      </c>
      <c r="C25" s="49" t="s">
        <v>99</v>
      </c>
      <c r="D25" s="48">
        <v>4</v>
      </c>
      <c r="E25" s="48">
        <v>3</v>
      </c>
      <c r="F25" s="48" t="s">
        <v>5</v>
      </c>
      <c r="G25" s="49" t="s">
        <v>224</v>
      </c>
      <c r="H25" s="48">
        <v>6</v>
      </c>
      <c r="I25" s="48">
        <v>6</v>
      </c>
      <c r="J25" s="63">
        <v>46308</v>
      </c>
      <c r="K25" s="63">
        <v>46314</v>
      </c>
      <c r="L25" s="48">
        <v>1</v>
      </c>
    </row>
    <row r="26" spans="1:12">
      <c r="A26" s="48" t="s">
        <v>100</v>
      </c>
      <c r="B26" s="48" t="s">
        <v>203</v>
      </c>
      <c r="C26" s="49" t="s">
        <v>101</v>
      </c>
      <c r="D26" s="48">
        <v>2</v>
      </c>
      <c r="E26" s="48">
        <v>3</v>
      </c>
      <c r="F26" s="48" t="s">
        <v>5</v>
      </c>
      <c r="G26" s="49" t="s">
        <v>225</v>
      </c>
      <c r="H26" s="48">
        <v>6</v>
      </c>
      <c r="I26" s="48">
        <v>6</v>
      </c>
      <c r="J26" s="63">
        <v>46308</v>
      </c>
      <c r="K26" s="63">
        <v>46314</v>
      </c>
      <c r="L26" s="48">
        <v>1</v>
      </c>
    </row>
    <row r="27" spans="1:12">
      <c r="A27" s="48" t="s">
        <v>102</v>
      </c>
      <c r="B27" s="48" t="s">
        <v>203</v>
      </c>
      <c r="C27" s="49" t="s">
        <v>103</v>
      </c>
      <c r="D27" s="48">
        <v>4</v>
      </c>
      <c r="E27" s="48">
        <v>3</v>
      </c>
      <c r="F27" s="48" t="s">
        <v>5</v>
      </c>
      <c r="G27" s="49" t="s">
        <v>226</v>
      </c>
      <c r="H27" s="48">
        <v>7</v>
      </c>
      <c r="I27" s="48">
        <v>7</v>
      </c>
      <c r="J27" s="63">
        <v>46315</v>
      </c>
      <c r="K27" s="63">
        <v>46321</v>
      </c>
      <c r="L27" s="48">
        <v>1</v>
      </c>
    </row>
    <row r="28" spans="1:12">
      <c r="A28" s="48" t="s">
        <v>104</v>
      </c>
      <c r="B28" s="48" t="s">
        <v>203</v>
      </c>
      <c r="C28" s="49" t="s">
        <v>105</v>
      </c>
      <c r="D28" s="48">
        <v>4</v>
      </c>
      <c r="E28" s="48">
        <v>3</v>
      </c>
      <c r="F28" s="48" t="s">
        <v>5</v>
      </c>
      <c r="G28" s="49" t="s">
        <v>227</v>
      </c>
      <c r="H28" s="48">
        <v>7</v>
      </c>
      <c r="I28" s="48">
        <v>7</v>
      </c>
      <c r="J28" s="63">
        <v>46315</v>
      </c>
      <c r="K28" s="63">
        <v>46321</v>
      </c>
      <c r="L28" s="48">
        <v>1</v>
      </c>
    </row>
    <row r="29" spans="1:12">
      <c r="A29" s="48" t="s">
        <v>106</v>
      </c>
      <c r="B29" s="48" t="s">
        <v>203</v>
      </c>
      <c r="C29" s="49" t="s">
        <v>107</v>
      </c>
      <c r="D29" s="48">
        <v>3</v>
      </c>
      <c r="E29" s="48">
        <v>3</v>
      </c>
      <c r="F29" s="48" t="s">
        <v>5</v>
      </c>
      <c r="G29" s="49" t="s">
        <v>228</v>
      </c>
      <c r="H29" s="48">
        <v>8</v>
      </c>
      <c r="I29" s="48">
        <v>8</v>
      </c>
      <c r="J29" s="63">
        <v>46322</v>
      </c>
      <c r="K29" s="63">
        <v>46328</v>
      </c>
      <c r="L29" s="48">
        <v>1</v>
      </c>
    </row>
    <row r="30" spans="1:12">
      <c r="A30" s="48" t="s">
        <v>108</v>
      </c>
      <c r="B30" s="48" t="s">
        <v>203</v>
      </c>
      <c r="C30" s="49" t="s">
        <v>109</v>
      </c>
      <c r="D30" s="48">
        <v>4</v>
      </c>
      <c r="E30" s="48">
        <v>3</v>
      </c>
      <c r="F30" s="48" t="s">
        <v>5</v>
      </c>
      <c r="G30" s="49" t="s">
        <v>229</v>
      </c>
      <c r="H30" s="48">
        <v>9</v>
      </c>
      <c r="I30" s="48">
        <v>9</v>
      </c>
      <c r="J30" s="63">
        <v>46329</v>
      </c>
      <c r="K30" s="63">
        <v>46335</v>
      </c>
      <c r="L30" s="48">
        <v>1</v>
      </c>
    </row>
    <row r="31" spans="1:12">
      <c r="A31" s="70" t="s">
        <v>110</v>
      </c>
      <c r="B31" s="70" t="s">
        <v>202</v>
      </c>
      <c r="C31" s="71" t="s">
        <v>111</v>
      </c>
      <c r="D31" s="70">
        <v>15</v>
      </c>
      <c r="E31" s="70">
        <v>4</v>
      </c>
      <c r="F31" s="70" t="s">
        <v>172</v>
      </c>
      <c r="G31" s="71" t="s">
        <v>230</v>
      </c>
      <c r="H31" s="70">
        <v>10</v>
      </c>
      <c r="I31" s="70">
        <v>13</v>
      </c>
      <c r="J31" s="72">
        <v>46336</v>
      </c>
      <c r="K31" s="72">
        <v>46363</v>
      </c>
      <c r="L31" s="70">
        <v>4</v>
      </c>
    </row>
    <row r="32" spans="1:12">
      <c r="A32" s="48" t="s">
        <v>112</v>
      </c>
      <c r="B32" s="48" t="s">
        <v>203</v>
      </c>
      <c r="C32" s="49" t="s">
        <v>113</v>
      </c>
      <c r="D32" s="48">
        <v>2</v>
      </c>
      <c r="E32" s="48">
        <v>4</v>
      </c>
      <c r="F32" s="48" t="s">
        <v>172</v>
      </c>
      <c r="G32" s="49" t="s">
        <v>231</v>
      </c>
      <c r="H32" s="48">
        <v>10</v>
      </c>
      <c r="I32" s="48">
        <v>10</v>
      </c>
      <c r="J32" s="63">
        <v>46336</v>
      </c>
      <c r="K32" s="63">
        <v>46342</v>
      </c>
      <c r="L32" s="48">
        <v>1</v>
      </c>
    </row>
    <row r="33" spans="1:12">
      <c r="A33" s="48" t="s">
        <v>114</v>
      </c>
      <c r="B33" s="48" t="s">
        <v>203</v>
      </c>
      <c r="C33" s="49" t="s">
        <v>115</v>
      </c>
      <c r="D33" s="48">
        <v>3</v>
      </c>
      <c r="E33" s="48">
        <v>4</v>
      </c>
      <c r="F33" s="48" t="s">
        <v>172</v>
      </c>
      <c r="G33" s="49" t="s">
        <v>232</v>
      </c>
      <c r="H33" s="48">
        <v>11</v>
      </c>
      <c r="I33" s="48">
        <v>11</v>
      </c>
      <c r="J33" s="63">
        <v>46343</v>
      </c>
      <c r="K33" s="63">
        <v>46349</v>
      </c>
      <c r="L33" s="48">
        <v>1</v>
      </c>
    </row>
    <row r="34" spans="1:12">
      <c r="A34" s="48" t="s">
        <v>116</v>
      </c>
      <c r="B34" s="48" t="s">
        <v>203</v>
      </c>
      <c r="C34" s="49" t="s">
        <v>117</v>
      </c>
      <c r="D34" s="48">
        <v>2</v>
      </c>
      <c r="E34" s="48">
        <v>4</v>
      </c>
      <c r="F34" s="48" t="s">
        <v>172</v>
      </c>
      <c r="G34" s="49" t="s">
        <v>233</v>
      </c>
      <c r="H34" s="48">
        <v>12</v>
      </c>
      <c r="I34" s="48">
        <v>12</v>
      </c>
      <c r="J34" s="63">
        <v>46350</v>
      </c>
      <c r="K34" s="63">
        <v>46356</v>
      </c>
      <c r="L34" s="48">
        <v>1</v>
      </c>
    </row>
    <row r="35" spans="1:12">
      <c r="A35" s="48" t="s">
        <v>118</v>
      </c>
      <c r="B35" s="48" t="s">
        <v>203</v>
      </c>
      <c r="C35" s="49" t="s">
        <v>119</v>
      </c>
      <c r="D35" s="48">
        <v>2</v>
      </c>
      <c r="E35" s="48">
        <v>4</v>
      </c>
      <c r="F35" s="48" t="s">
        <v>172</v>
      </c>
      <c r="G35" s="49" t="s">
        <v>234</v>
      </c>
      <c r="H35" s="48">
        <v>12</v>
      </c>
      <c r="I35" s="48">
        <v>12</v>
      </c>
      <c r="J35" s="63">
        <v>46350</v>
      </c>
      <c r="K35" s="63">
        <v>46356</v>
      </c>
      <c r="L35" s="48">
        <v>1</v>
      </c>
    </row>
    <row r="36" spans="1:12">
      <c r="A36" s="48" t="s">
        <v>120</v>
      </c>
      <c r="B36" s="48" t="s">
        <v>203</v>
      </c>
      <c r="C36" s="49" t="s">
        <v>121</v>
      </c>
      <c r="D36" s="48">
        <v>1</v>
      </c>
      <c r="E36" s="48">
        <v>4</v>
      </c>
      <c r="F36" s="48" t="s">
        <v>172</v>
      </c>
      <c r="G36" s="49" t="s">
        <v>235</v>
      </c>
      <c r="H36" s="48">
        <v>12</v>
      </c>
      <c r="I36" s="48">
        <v>12</v>
      </c>
      <c r="J36" s="63">
        <v>46350</v>
      </c>
      <c r="K36" s="63">
        <v>46356</v>
      </c>
      <c r="L36" s="48">
        <v>1</v>
      </c>
    </row>
    <row r="37" spans="1:12">
      <c r="A37" s="48" t="s">
        <v>122</v>
      </c>
      <c r="B37" s="48" t="s">
        <v>203</v>
      </c>
      <c r="C37" s="49" t="s">
        <v>123</v>
      </c>
      <c r="D37" s="48">
        <v>3</v>
      </c>
      <c r="E37" s="48">
        <v>4</v>
      </c>
      <c r="F37" s="48" t="s">
        <v>172</v>
      </c>
      <c r="G37" s="49" t="s">
        <v>236</v>
      </c>
      <c r="H37" s="48">
        <v>13</v>
      </c>
      <c r="I37" s="48">
        <v>13</v>
      </c>
      <c r="J37" s="63">
        <v>46357</v>
      </c>
      <c r="K37" s="63">
        <v>46363</v>
      </c>
      <c r="L37" s="48">
        <v>1</v>
      </c>
    </row>
    <row r="38" spans="1:12">
      <c r="A38" s="48" t="s">
        <v>124</v>
      </c>
      <c r="B38" s="48" t="s">
        <v>203</v>
      </c>
      <c r="C38" s="49" t="s">
        <v>125</v>
      </c>
      <c r="D38" s="48">
        <v>2</v>
      </c>
      <c r="E38" s="48">
        <v>4</v>
      </c>
      <c r="F38" s="48" t="s">
        <v>172</v>
      </c>
      <c r="G38" s="49" t="s">
        <v>237</v>
      </c>
      <c r="H38" s="48">
        <v>13</v>
      </c>
      <c r="I38" s="48">
        <v>13</v>
      </c>
      <c r="J38" s="63">
        <v>46357</v>
      </c>
      <c r="K38" s="63">
        <v>46363</v>
      </c>
      <c r="L38" s="48">
        <v>1</v>
      </c>
    </row>
    <row r="39" spans="1:12">
      <c r="A39" s="70" t="s">
        <v>126</v>
      </c>
      <c r="B39" s="70" t="s">
        <v>202</v>
      </c>
      <c r="C39" s="71" t="s">
        <v>127</v>
      </c>
      <c r="D39" s="70">
        <v>5</v>
      </c>
      <c r="E39" s="70">
        <v>5</v>
      </c>
      <c r="F39" s="70" t="s">
        <v>238</v>
      </c>
      <c r="G39" s="71" t="s">
        <v>239</v>
      </c>
      <c r="H39" s="70">
        <v>13</v>
      </c>
      <c r="I39" s="70">
        <v>20</v>
      </c>
      <c r="J39" s="72">
        <v>46357</v>
      </c>
      <c r="K39" s="72">
        <v>46412</v>
      </c>
      <c r="L39" s="70">
        <v>5</v>
      </c>
    </row>
    <row r="40" spans="1:12">
      <c r="A40" s="48" t="s">
        <v>128</v>
      </c>
      <c r="B40" s="48" t="s">
        <v>203</v>
      </c>
      <c r="C40" s="49" t="s">
        <v>129</v>
      </c>
      <c r="D40" s="48">
        <v>2</v>
      </c>
      <c r="E40" s="48">
        <v>5</v>
      </c>
      <c r="F40" s="48" t="s">
        <v>172</v>
      </c>
      <c r="G40" s="49" t="s">
        <v>240</v>
      </c>
      <c r="H40" s="48">
        <v>13</v>
      </c>
      <c r="I40" s="48">
        <v>13</v>
      </c>
      <c r="J40" s="63">
        <v>46357</v>
      </c>
      <c r="K40" s="63">
        <v>46363</v>
      </c>
      <c r="L40" s="48">
        <v>1</v>
      </c>
    </row>
    <row r="41" spans="1:12">
      <c r="A41" s="48" t="s">
        <v>130</v>
      </c>
      <c r="B41" s="48" t="s">
        <v>203</v>
      </c>
      <c r="C41" s="49" t="s">
        <v>131</v>
      </c>
      <c r="D41" s="48">
        <v>1</v>
      </c>
      <c r="E41" s="48">
        <v>5</v>
      </c>
      <c r="F41" s="48" t="s">
        <v>179</v>
      </c>
      <c r="G41" s="49" t="s">
        <v>241</v>
      </c>
      <c r="H41" s="48">
        <v>14</v>
      </c>
      <c r="I41" s="48">
        <v>15</v>
      </c>
      <c r="J41" s="63">
        <v>46364</v>
      </c>
      <c r="K41" s="63">
        <v>46377</v>
      </c>
      <c r="L41" s="48">
        <v>2</v>
      </c>
    </row>
    <row r="42" spans="1:12">
      <c r="A42" s="48" t="s">
        <v>132</v>
      </c>
      <c r="B42" s="48" t="s">
        <v>203</v>
      </c>
      <c r="C42" s="49" t="s">
        <v>133</v>
      </c>
      <c r="D42" s="48">
        <v>1</v>
      </c>
      <c r="E42" s="48">
        <v>5</v>
      </c>
      <c r="F42" s="48" t="s">
        <v>179</v>
      </c>
      <c r="G42" s="49" t="s">
        <v>242</v>
      </c>
      <c r="H42" s="48">
        <v>17</v>
      </c>
      <c r="I42" s="48">
        <v>17</v>
      </c>
      <c r="J42" s="63">
        <v>46385</v>
      </c>
      <c r="K42" s="63">
        <v>46391</v>
      </c>
      <c r="L42" s="48">
        <v>1</v>
      </c>
    </row>
    <row r="43" spans="1:12">
      <c r="A43" s="48" t="s">
        <v>134</v>
      </c>
      <c r="B43" s="48" t="s">
        <v>203</v>
      </c>
      <c r="C43" s="49" t="s">
        <v>135</v>
      </c>
      <c r="D43" s="48">
        <v>1</v>
      </c>
      <c r="E43" s="48">
        <v>5</v>
      </c>
      <c r="F43" s="48" t="s">
        <v>179</v>
      </c>
      <c r="G43" s="49" t="s">
        <v>243</v>
      </c>
      <c r="H43" s="48">
        <v>20</v>
      </c>
      <c r="I43" s="48">
        <v>20</v>
      </c>
      <c r="J43" s="63">
        <v>46406</v>
      </c>
      <c r="K43" s="63">
        <v>46412</v>
      </c>
      <c r="L43" s="48">
        <v>1</v>
      </c>
    </row>
  </sheetData>
  <autoFilter ref="A1:L43" xr:uid="{00000000-0009-0000-0000-000002000000}"/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Gantt Chart</vt:lpstr>
      <vt:lpstr>สรุปงวดส่งมอบ</vt:lpstr>
      <vt:lpstr>ข้อมูล 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POSCHANAN SRITHAMMA</cp:lastModifiedBy>
  <cp:revision>0</cp:revision>
  <dcterms:created xsi:type="dcterms:W3CDTF">2026-09-21T07:54:41Z</dcterms:created>
  <dcterms:modified xsi:type="dcterms:W3CDTF">2026-09-24T13:32:28Z</dcterms:modified>
  <dc:language>en-US</dc:language>
</cp:coreProperties>
</file>