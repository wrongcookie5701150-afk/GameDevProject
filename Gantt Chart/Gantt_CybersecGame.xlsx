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schanan\Downloads\files\"/>
    </mc:Choice>
  </mc:AlternateContent>
  <xr:revisionPtr revIDLastSave="0" documentId="13_ncr:1_{160752D2-3E4E-4CDB-8B05-3FC0F92F5D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 Chart" sheetId="1" r:id="rId1"/>
    <sheet name="สรุปงวดส่งมอบ" sheetId="2" r:id="rId2"/>
    <sheet name="ข้อมูล WBS" sheetId="3" r:id="rId3"/>
  </sheets>
  <definedNames>
    <definedName name="_xlnm._FilterDatabase" localSheetId="2" hidden="1">'ข้อมูล WBS'!$A$1:$L$43</definedName>
    <definedName name="_xlnm.Print_Titles" localSheetId="0">'Gantt Chart'!$1:$8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C17" i="2" l="1"/>
  <c r="D17" i="2" s="1"/>
  <c r="E17" i="2" s="1"/>
  <c r="B17" i="2"/>
  <c r="C16" i="2"/>
  <c r="D16" i="2" s="1"/>
  <c r="E16" i="2" s="1"/>
  <c r="B16" i="2"/>
  <c r="C15" i="2"/>
  <c r="B15" i="2"/>
  <c r="C14" i="2"/>
  <c r="D14" i="2" s="1"/>
  <c r="E14" i="2" s="1"/>
  <c r="B14" i="2"/>
  <c r="B18" i="2" s="1"/>
  <c r="F10" i="2"/>
  <c r="H9" i="2"/>
  <c r="G9" i="2"/>
  <c r="H8" i="2"/>
  <c r="G8" i="2"/>
  <c r="H7" i="2"/>
  <c r="G7" i="2"/>
  <c r="H6" i="2"/>
  <c r="G6" i="2"/>
  <c r="H5" i="2"/>
  <c r="H10" i="2" s="1"/>
  <c r="G5" i="2"/>
  <c r="G10" i="2" s="1"/>
  <c r="C18" i="2" l="1"/>
  <c r="D18" i="2" s="1"/>
</calcChain>
</file>

<file path=xl/sharedStrings.xml><?xml version="1.0" encoding="utf-8"?>
<sst xmlns="http://schemas.openxmlformats.org/spreadsheetml/2006/main" count="628" uniqueCount="297">
  <si>
    <t>Gantt Chart — Cybersecurity Learning Game</t>
  </si>
  <si>
    <t>สีแท่ง = งวด · แถวตัวหนา = งานหลัก · ◆ Milestone · ★ กิจกรรมพิเศษ</t>
  </si>
  <si>
    <t>งวด 1</t>
  </si>
  <si>
    <t>งวด 2</t>
  </si>
  <si>
    <t>งวด 3</t>
  </si>
  <si>
    <t>งวด 4A ตัวเกม</t>
  </si>
  <si>
    <t>พัก/สำรอง</t>
  </si>
  <si>
    <t>งวด 4B รูปเล่ม</t>
  </si>
  <si>
    <t>รหัส WBS</t>
  </si>
  <si>
    <t>รายละเอียดงาน</t>
  </si>
  <si>
    <t>%</t>
  </si>
  <si>
    <t>งวด</t>
  </si>
  <si>
    <t>สัปดาห์
เริ่ม–จบ</t>
  </si>
  <si>
    <t>วันที่เริ่ม</t>
  </si>
  <si>
    <t>วันที่สิ้นสุด</t>
  </si>
  <si>
    <t>จำนวน
สัปดาห์</t>
  </si>
  <si>
    <t>W1  8 ก.ย.</t>
  </si>
  <si>
    <t>W2  15 ก.ย.</t>
  </si>
  <si>
    <t>W3  22 ก.ย.</t>
  </si>
  <si>
    <t>W4  29 ก.ย.</t>
  </si>
  <si>
    <t>W5  6 ต.ค.</t>
  </si>
  <si>
    <t>W6  13 ต.ค.</t>
  </si>
  <si>
    <t>W7  20 ต.ค.</t>
  </si>
  <si>
    <t>W8  27 ต.ค.</t>
  </si>
  <si>
    <t>W9  3 พ.ย.</t>
  </si>
  <si>
    <t>W10  10 พ.ย.</t>
  </si>
  <si>
    <t>W11  17 พ.ย.</t>
  </si>
  <si>
    <t>W12  24 พ.ย.</t>
  </si>
  <si>
    <t>W13  1 ธ.ค.</t>
  </si>
  <si>
    <t>W14  8 ธ.ค.</t>
  </si>
  <si>
    <t>W15  15 ธ.ค.</t>
  </si>
  <si>
    <t>W16  22 ธ.ค.</t>
  </si>
  <si>
    <t>W17  29 ธ.ค.</t>
  </si>
  <si>
    <t>W18  5 ม.ค.</t>
  </si>
  <si>
    <t>W19  12 ม.ค.</t>
  </si>
  <si>
    <t>W20  19 ม.ค.</t>
  </si>
  <si>
    <t>W21  26 ม.ค.</t>
  </si>
  <si>
    <t>W22  2 ก.พ.</t>
  </si>
  <si>
    <t>W23  9 ก.พ.</t>
  </si>
  <si>
    <t>W24  16 ก.พ.</t>
  </si>
  <si>
    <t>M1</t>
  </si>
  <si>
    <t>◆ เอกสารการศึกษาและแผนโครงการเสร็จ (จบงวด 1)</t>
  </si>
  <si>
    <t>1</t>
  </si>
  <si>
    <t>W3</t>
  </si>
  <si>
    <t>22 ก.ย. 69</t>
  </si>
  <si>
    <t>28 ก.ย. 69</t>
  </si>
  <si>
    <t>–</t>
  </si>
  <si>
    <t>◆</t>
  </si>
  <si>
    <t>M2</t>
  </si>
  <si>
    <t>◆ เอกสารออกแบบ แผนประเมิน และต้นแบบเสร็จ (จบงวด 2)</t>
  </si>
  <si>
    <t>2</t>
  </si>
  <si>
    <t>W7</t>
  </si>
  <si>
    <t>20 ต.ค. 69</t>
  </si>
  <si>
    <t>26 ต.ค. 69</t>
  </si>
  <si>
    <t>M3</t>
  </si>
  <si>
    <t>◆ เกมต้นแบบผ่านการตรวจเนื้อหาเสร็จ (จบงวด 3)</t>
  </si>
  <si>
    <t>3</t>
  </si>
  <si>
    <t>W12</t>
  </si>
  <si>
    <t>24 พ.ย. 69</t>
  </si>
  <si>
    <t>30 พ.ย. 69</t>
  </si>
  <si>
    <t>M4</t>
  </si>
  <si>
    <t>◆ เกมเสร็จสมบูรณ์ (จบงวด 4A ตัวเกม)</t>
  </si>
  <si>
    <t>4A</t>
  </si>
  <si>
    <t>W16</t>
  </si>
  <si>
    <t>22 ธ.ค. 69</t>
  </si>
  <si>
    <t>28 ธ.ค. 69</t>
  </si>
  <si>
    <t>M5</t>
  </si>
  <si>
    <t>◆ ส่งมอบรูปเล่ม (จบงวด 4B)</t>
  </si>
  <si>
    <t>4B</t>
  </si>
  <si>
    <t>W24</t>
  </si>
  <si>
    <t>16 ก.พ. 70</t>
  </si>
  <si>
    <t>22 ก.พ. 70</t>
  </si>
  <si>
    <t>★</t>
  </si>
  <si>
    <t>★ นำเสนองาน (กิจกรรมพิเศษ)</t>
  </si>
  <si>
    <t>24 ก.ย. 69</t>
  </si>
  <si>
    <t>การศึกษาและวางแผนโครงการ</t>
  </si>
  <si>
    <t>W1–W3</t>
  </si>
  <si>
    <t>8 ก.ย. 69</t>
  </si>
  <si>
    <t>1.1</t>
  </si>
  <si>
    <t>ศึกษากลุ่มเป้าหมาย (ม.ปลาย/อุดมศึกษา)</t>
  </si>
  <si>
    <t>W1</t>
  </si>
  <si>
    <t>14 ก.ย. 69</t>
  </si>
  <si>
    <t>1.2</t>
  </si>
  <si>
    <t>ศึกษาปัญหาและพฤติกรรมด้านความปลอดภัยทางไซเบอร์</t>
  </si>
  <si>
    <t>1.3</t>
  </si>
  <si>
    <t>วิเคราะห์และกำหนดขอบเขตเนื้อหา Cybersecurity</t>
  </si>
  <si>
    <t>W2</t>
  </si>
  <si>
    <t>15 ก.ย. 69</t>
  </si>
  <si>
    <t>21 ก.ย. 69</t>
  </si>
  <si>
    <t>1.4</t>
  </si>
  <si>
    <t>กำหนดวัตถุประสงค์และผลลัพธ์การเรียนรู้</t>
  </si>
  <si>
    <t>1.5</t>
  </si>
  <si>
    <t>กำหนดขอบเขต คุณลักษณะเกม และแผนดำเนินงาน</t>
  </si>
  <si>
    <t>1.6</t>
  </si>
  <si>
    <t>จัดทำแผนการวัดและประเมินผลการเรียนรู้</t>
  </si>
  <si>
    <t>การวิเคราะห์และออกแบบเกมและการประเมินผล</t>
  </si>
  <si>
    <t>W4–W7</t>
  </si>
  <si>
    <t>29 ก.ย. 69</t>
  </si>
  <si>
    <t>2.1</t>
  </si>
  <si>
    <t>ออกแบบโครงสร้างและลำดับเนื้อเรื่อง</t>
  </si>
  <si>
    <t>W4</t>
  </si>
  <si>
    <t>5 ต.ค. 69</t>
  </si>
  <si>
    <t>2.2</t>
  </si>
  <si>
    <t>ออกแบบสถานการณ์ด้านความปลอดภัยทางไซเบอร์</t>
  </si>
  <si>
    <t>W5</t>
  </si>
  <si>
    <t>6 ต.ค. 69</t>
  </si>
  <si>
    <t>12 ต.ค. 69</t>
  </si>
  <si>
    <t>2.3</t>
  </si>
  <si>
    <t>ออกแบบทางเลือกและผลกระทบจากการตัดสินใจ</t>
  </si>
  <si>
    <t>W6</t>
  </si>
  <si>
    <t>13 ต.ค. 69</t>
  </si>
  <si>
    <t>19 ต.ค. 69</t>
  </si>
  <si>
    <t>2.4</t>
  </si>
  <si>
    <t>ออกแบบตัวละครและบทบาท</t>
  </si>
  <si>
    <t>2.5</t>
  </si>
  <si>
    <t>ออกแบบกลไกการเล่นเกมและระบบที่เกี่ยวข้อง</t>
  </si>
  <si>
    <t>2.6</t>
  </si>
  <si>
    <t>ออกแบบ UI/UX</t>
  </si>
  <si>
    <t>2.7</t>
  </si>
  <si>
    <t>ตารางเชื่อมโยงเนื้อหา–วัตถุประสงค์–กิจกรรม</t>
  </si>
  <si>
    <t>2.8</t>
  </si>
  <si>
    <t>พัฒนาเครื่องมือ Pre-test / Post-test</t>
  </si>
  <si>
    <t>2.9</t>
  </si>
  <si>
    <t>วางแผนและออกแบบการเก็บ Game Analytics</t>
  </si>
  <si>
    <t>2.10</t>
  </si>
  <si>
    <t>จัดทำแผนตรวจสอบความตรงเชิงเนื้อหา</t>
  </si>
  <si>
    <t>2.11</t>
  </si>
  <si>
    <t>จัดทำต้นแบบเกม</t>
  </si>
  <si>
    <t>การตรวจสอบเนื้อหาและพัฒนาเกม</t>
  </si>
  <si>
    <t>W8–W12</t>
  </si>
  <si>
    <t>27 ต.ค. 69</t>
  </si>
  <si>
    <t>3.1</t>
  </si>
  <si>
    <t>ตรวจสอบเนื้อหาโดยผู้เชี่ยวชาญ (Content Validation)</t>
  </si>
  <si>
    <t>W8</t>
  </si>
  <si>
    <t>2 พ.ย. 69</t>
  </si>
  <si>
    <t>3.2</t>
  </si>
  <si>
    <t>พัฒนาระบบหลักของเกม</t>
  </si>
  <si>
    <t>3.3</t>
  </si>
  <si>
    <t>พัฒนาระบบบทสนทนาและการดำเนินเรื่อง</t>
  </si>
  <si>
    <t>W9</t>
  </si>
  <si>
    <t>3 พ.ย. 69</t>
  </si>
  <si>
    <t>9 พ.ย. 69</t>
  </si>
  <si>
    <t>3.4</t>
  </si>
  <si>
    <t>พัฒนาระบบทางเลือกและผลลัพธ์การตัดสินใจ</t>
  </si>
  <si>
    <t>W10</t>
  </si>
  <si>
    <t>10 พ.ย. 69</t>
  </si>
  <si>
    <t>16 พ.ย. 69</t>
  </si>
  <si>
    <t>3.5</t>
  </si>
  <si>
    <t>พัฒนาระบบบันทึก Game Analytics</t>
  </si>
  <si>
    <t>3.6</t>
  </si>
  <si>
    <t>นำเนื้อหา Cybersecurity เข้าสู่เกม</t>
  </si>
  <si>
    <t>W11</t>
  </si>
  <si>
    <t>17 พ.ย. 69</t>
  </si>
  <si>
    <t>23 พ.ย. 69</t>
  </si>
  <si>
    <t>3.7</t>
  </si>
  <si>
    <t>พัฒนาตัวละคร ฉาก องค์ประกอบภาพ</t>
  </si>
  <si>
    <t>3.8</t>
  </si>
  <si>
    <t>จัดทำเสียงและสื่อประกอบ</t>
  </si>
  <si>
    <t>3.9</t>
  </si>
  <si>
    <t>บูรณาการและทดสอบระบบภายใน</t>
  </si>
  <si>
    <t>4</t>
  </si>
  <si>
    <t>การทดลองใช้ การวัดประเมินผล และการปรับปรุง</t>
  </si>
  <si>
    <t>W13–W16</t>
  </si>
  <si>
    <t>1 ธ.ค. 69</t>
  </si>
  <si>
    <t>4.1</t>
  </si>
  <si>
    <t>ดำเนินการ Pre-test</t>
  </si>
  <si>
    <t>W13</t>
  </si>
  <si>
    <t>7 ธ.ค. 69</t>
  </si>
  <si>
    <t>4.2</t>
  </si>
  <si>
    <t>ทดลองใช้เกมและเก็บ Game Analytics</t>
  </si>
  <si>
    <t>W14</t>
  </si>
  <si>
    <t>8 ธ.ค. 69</t>
  </si>
  <si>
    <t>14 ธ.ค. 69</t>
  </si>
  <si>
    <t>4.3</t>
  </si>
  <si>
    <t>ดำเนินการ Post-test</t>
  </si>
  <si>
    <t>W15</t>
  </si>
  <si>
    <t>15 ธ.ค. 69</t>
  </si>
  <si>
    <t>21 ธ.ค. 69</t>
  </si>
  <si>
    <t>4.4</t>
  </si>
  <si>
    <t>วิเคราะห์ผล Pre/Post-test</t>
  </si>
  <si>
    <t>4.5</t>
  </si>
  <si>
    <t>วิเคราะห์ข้อมูล Game Analytics</t>
  </si>
  <si>
    <t>4.6</t>
  </si>
  <si>
    <t>วิเคราะห์การใช้งานและข้อเสนอแนะ</t>
  </si>
  <si>
    <t>4.7</t>
  </si>
  <si>
    <t>ปรับปรุงเกมตามผลการทดลอง</t>
  </si>
  <si>
    <t>5</t>
  </si>
  <si>
    <t>การจัดทำเอกสารและส่งมอบ</t>
  </si>
  <si>
    <t>4A+4B</t>
  </si>
  <si>
    <t>W16–W24</t>
  </si>
  <si>
    <t>5.1</t>
  </si>
  <si>
    <t>จัดทำเกมฉบับสมบูรณ์และ QA ขั้นสุดท้าย</t>
  </si>
  <si>
    <t>5.2</t>
  </si>
  <si>
    <t>จัดทำคู่มือ เอกสาร และรายงานผลดำเนินงาน</t>
  </si>
  <si>
    <t>W22</t>
  </si>
  <si>
    <t>2 ก.พ. 70</t>
  </si>
  <si>
    <t>8 ก.พ. 70</t>
  </si>
  <si>
    <t>5.3</t>
  </si>
  <si>
    <t>จัดทำรายงานผลการวัดและประเมินผล</t>
  </si>
  <si>
    <t>W23</t>
  </si>
  <si>
    <t>9 ก.พ. 70</t>
  </si>
  <si>
    <t>15 ก.พ. 70</t>
  </si>
  <si>
    <t>5.4</t>
  </si>
  <si>
    <t>นำเสนอและส่งมอบผลงาน</t>
  </si>
  <si>
    <t>คำอธิบายสี</t>
  </si>
  <si>
    <t>งวด 1 (W1–W3)</t>
  </si>
  <si>
    <t>งวด 2 (W4–W7)</t>
  </si>
  <si>
    <t>งวด 3 (W8–W12)</t>
  </si>
  <si>
    <t>งวด 4A ตัวเกม (W13–W16) และงวด 4B รูปเล่ม (W22–W24)</t>
  </si>
  <si>
    <t>ช่วงพัก/สำรอง W17–W21 (ห้ามมีงาน)</t>
  </si>
  <si>
    <t>⚠ คำเตือน: งานหลัก 2 (การวิเคราะห์และออกแบบเกมและการประเมินผล): ผลรวม % งานย่อย = 29 ไม่ตรงกับ % งานหลัก = 27 (ส่วนต่าง +2) — ไม่ได้แก้ค่า ใช้ตามข้อมูลต้นฉบับ</t>
  </si>
  <si>
    <t>สรุปงวดส่งมอบ — Cybersecurity Learning Game</t>
  </si>
  <si>
    <t>คอลัมน์ 'จำนวนงานย่อย' และ '% งานย่อยรวม' คำนวณด้วยสูตร COUNTIFS/SUMIFS จาก sheet 'ข้อมูล WBS' (อัปเดตอัตโนมัติเมื่อแก้ข้อมูล)</t>
  </si>
  <si>
    <t>ช่วงงวด</t>
  </si>
  <si>
    <t>ขอบเขตงาน</t>
  </si>
  <si>
    <t>สัปดาห์</t>
  </si>
  <si>
    <t>จำนวนสัปดาห์
(ตามกรอบ)</t>
  </si>
  <si>
    <t>จำนวน
งานย่อย</t>
  </si>
  <si>
    <t>% งานย่อยรวม</t>
  </si>
  <si>
    <t>Milestone</t>
  </si>
  <si>
    <t>สิ่งส่งมอบหลัก</t>
  </si>
  <si>
    <t>การศึกษาและวางแผนโครงการ (งานหลัก 1)</t>
  </si>
  <si>
    <t>◆ M1 (W3)</t>
  </si>
  <si>
    <t>เอกสารการศึกษาและแผนโครงการ</t>
  </si>
  <si>
    <t>การวิเคราะห์และออกแบบเกมและการประเมินผล (งานหลัก 2)</t>
  </si>
  <si>
    <t>◆ M2 (W7)</t>
  </si>
  <si>
    <t>เอกสารออกแบบ แผนประเมิน ต้นแบบ</t>
  </si>
  <si>
    <t>การตรวจสอบเนื้อหาและพัฒนาเกม (งานหลัก 3)</t>
  </si>
  <si>
    <t>◆ M3 (W12)</t>
  </si>
  <si>
    <t>เกมต้นแบบที่ผ่านตรวจเนื้อหา</t>
  </si>
  <si>
    <t>งวด 4A</t>
  </si>
  <si>
    <t>ตัวเกม: ทดลองใช้/วัดประเมิน/ปรับปรุง (4.1–4.7) + เกมฉบับสมบูรณ์ (5.1)</t>
  </si>
  <si>
    <t>◆ M4 (W16) เกมเสร็จสมบูรณ์</t>
  </si>
  <si>
    <t>ผลการทดลอง เกมฉบับปรับปรุง และ Final Game</t>
  </si>
  <si>
    <t>งวด 4B</t>
  </si>
  <si>
    <t>รูปเล่ม: คู่มือ รายงาน และส่งมอบ (5.2–5.4)</t>
  </si>
  <si>
    <t>W22–W24</t>
  </si>
  <si>
    <t>◆ M5 (W24) ส่งมอบรูปเล่ม</t>
  </si>
  <si>
    <t>คู่มือและรายงาน / Assessment Report / Final Delivery</t>
  </si>
  <si>
    <t>รวม</t>
  </si>
  <si>
    <t>ทุกช่วงงวด (ไม่รวมช่วงพัก W17–W21)</t>
  </si>
  <si>
    <t>ตรวจสอบความสอดคล้องของ % (ตามงวดใน WBS: งวด 4 = 4A + 4B)</t>
  </si>
  <si>
    <t>งวด (WBS)</t>
  </si>
  <si>
    <t>% งานหลักตามแผน</t>
  </si>
  <si>
    <t>% ผลรวมงานย่อย</t>
  </si>
  <si>
    <t>ส่วนต่าง</t>
  </si>
  <si>
    <t>ผลการตรวจ</t>
  </si>
  <si>
    <t>หมายเหตุ</t>
  </si>
  <si>
    <t>• ระยะเวลางานย่อย = (%งานย่อย ÷ %งวด) × จำนวนสัปดาห์ของงวด ปัดแบบปกติ ขั้นต่ำ 1 สัปดาห์ (%งวด 1/2/3/4 = 18/27/35/20)</t>
  </si>
  <si>
    <t>• สัปดาห์เริ่มของแต่ละงานย่อยเป็นข้อสมมติของผู้จัดทำ (ตามลำดับพึ่งพาที่กำหนด) — ปรับได้ที่ตัวแปร START_WEEK ในสคริปต์</t>
  </si>
  <si>
    <t>ระดับ</t>
  </si>
  <si>
    <t>Deliverable</t>
  </si>
  <si>
    <t>สัปดาห์เริ่ม</t>
  </si>
  <si>
    <t>สัปดาห์จบ</t>
  </si>
  <si>
    <t>จำนวนสัปดาห์</t>
  </si>
  <si>
    <t>งานหลัก</t>
  </si>
  <si>
    <t>ย่อย</t>
  </si>
  <si>
    <t>ผลการศึกษากลุ่มเป้าหมาย</t>
  </si>
  <si>
    <t>ผลการวิเคราะห์ปัญหา</t>
  </si>
  <si>
    <t>กรอบเนื้อหา</t>
  </si>
  <si>
    <t>Learning Objectives/Outcomes</t>
  </si>
  <si>
    <t>ข้อกำหนดโครงการ</t>
  </si>
  <si>
    <t>Assessment Plan</t>
  </si>
  <si>
    <t>โครงสร้างเนื้อเรื่อง</t>
  </si>
  <si>
    <t>รายละเอียดสถานการณ์</t>
  </si>
  <si>
    <t>แผนผังทางเลือก</t>
  </si>
  <si>
    <t>รายละเอียดตัวละคร</t>
  </si>
  <si>
    <t>Game Design Document</t>
  </si>
  <si>
    <t>แบบร่าง UI/UX</t>
  </si>
  <si>
    <t>Content-to-LO Mapping</t>
  </si>
  <si>
    <t>แบบทดสอบ Pre/Post</t>
  </si>
  <si>
    <t>Analytics Specification</t>
  </si>
  <si>
    <t>Content Validation Plan</t>
  </si>
  <si>
    <t>Prototype</t>
  </si>
  <si>
    <t>ผลการตรวจสอบเนื้อหา</t>
  </si>
  <si>
    <t>ระบบเกม</t>
  </si>
  <si>
    <t>Dialogue System</t>
  </si>
  <si>
    <t>Choice/Decision System</t>
  </si>
  <si>
    <t>Game Analytics System</t>
  </si>
  <si>
    <t>Cybersecurity Content</t>
  </si>
  <si>
    <t>Graphics/Assets</t>
  </si>
  <si>
    <t>Audio/Media Assets</t>
  </si>
  <si>
    <t>Playable Prototype</t>
  </si>
  <si>
    <t>ผลการทดลองและเกมฉบับปรับปรุง</t>
  </si>
  <si>
    <t>คะแนนก่อนเรียน</t>
  </si>
  <si>
    <t>ข้อมูลการเล่นเกม</t>
  </si>
  <si>
    <t>คะแนนหลังเรียน</t>
  </si>
  <si>
    <t>ผลการวิเคราะห์ความรู้</t>
  </si>
  <si>
    <t>ผลวิเคราะห์ Analytics</t>
  </si>
  <si>
    <t>ผลการประเมินการใช้งาน</t>
  </si>
  <si>
    <t>เกมฉบับปรับปรุง</t>
  </si>
  <si>
    <t>งวด 4A+4B</t>
  </si>
  <si>
    <t>เกมฉบับสมบูรณ์และรายงาน</t>
  </si>
  <si>
    <t>Final Game</t>
  </si>
  <si>
    <t>คู่มือและรายงาน</t>
  </si>
  <si>
    <t>Assessment Report</t>
  </si>
  <si>
    <t>Final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</si>
</sst>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งวด &quot;0"/>
    <numFmt numFmtId="165" formatCode="yyyy\-mm\-dd"/>
  </numFmts>
  <fonts count="19" x14ac:knownFonts="1">
    <font>
      <sz val="11"/>
      <color theme="1"/>
      <name val="Calibri"/>
      <family val="2"/>
      <charset val="1"/>
    </font>
    <font>
      <b/>
      <sz val="12"/>
      <color rgb="FF000000"/>
      <name val="Tahoma"/>
      <charset val="1"/>
    </font>
    <font>
      <i/>
      <sz val="8"/>
      <color rgb="FF595959"/>
      <name val="Tahoma"/>
      <charset val="1"/>
    </font>
    <font>
      <b/>
      <sz val="9"/>
      <color rgb="FFFFFFFF"/>
      <name val="Tahoma"/>
      <charset val="1"/>
    </font>
    <font>
      <b/>
      <sz val="9"/>
      <color rgb="FF404040"/>
      <name val="Tahoma"/>
      <charset val="1"/>
    </font>
    <font>
      <b/>
      <sz val="10"/>
      <color rgb="FFFFFFFF"/>
      <name val="Tahoma"/>
      <charset val="1"/>
    </font>
    <font>
      <b/>
      <sz val="8"/>
      <color rgb="FFFFFFFF"/>
      <name val="Tahoma"/>
      <charset val="1"/>
    </font>
    <font>
      <b/>
      <sz val="8"/>
      <color rgb="FF404040"/>
      <name val="Tahoma"/>
      <charset val="1"/>
    </font>
    <font>
      <b/>
      <sz val="9"/>
      <color rgb="FF000000"/>
      <name val="Tahoma"/>
      <charset val="1"/>
    </font>
    <font>
      <sz val="9"/>
      <color rgb="FF000000"/>
      <name val="Tahoma"/>
      <charset val="1"/>
    </font>
    <font>
      <b/>
      <sz val="12"/>
      <color rgb="FFC00000"/>
      <name val="Tahoma"/>
      <charset val="1"/>
    </font>
    <font>
      <b/>
      <sz val="12"/>
      <color rgb="FFD4A000"/>
      <name val="Tahoma"/>
      <charset val="1"/>
    </font>
    <font>
      <b/>
      <sz val="10"/>
      <color rgb="FF000000"/>
      <name val="Tahoma"/>
      <charset val="1"/>
    </font>
    <font>
      <sz val="10"/>
      <color rgb="FF000000"/>
      <name val="Tahoma"/>
      <charset val="1"/>
    </font>
    <font>
      <b/>
      <sz val="10"/>
      <color rgb="FFC00000"/>
      <name val="Tahoma"/>
      <charset val="1"/>
    </font>
    <font>
      <b/>
      <sz val="14"/>
      <color rgb="FF000000"/>
      <name val="Tahoma"/>
      <charset val="1"/>
    </font>
    <font>
      <i/>
      <sz val="9"/>
      <color rgb="FF595959"/>
      <name val="Tahoma"/>
      <charset val="1"/>
    </font>
    <font>
      <b/>
      <sz val="11"/>
      <color rgb="FF000000"/>
      <name val="Tahoma"/>
      <charset val="1"/>
    </font>
    <font>
      <sz val="9"/>
      <color rgb="FF595959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4A90D9"/>
        <bgColor rgb="FF52A66B"/>
      </patternFill>
    </fill>
    <fill>
      <patternFill patternType="solid">
        <fgColor rgb="FF52A66B"/>
        <bgColor rgb="FF7F7F7F"/>
      </patternFill>
    </fill>
    <fill>
      <patternFill patternType="solid">
        <fgColor rgb="FFE08B3C"/>
        <bgColor rgb="FFD4A000"/>
      </patternFill>
    </fill>
    <fill>
      <patternFill patternType="solid">
        <fgColor rgb="FF8E6BB5"/>
        <bgColor rgb="FF7F7F7F"/>
      </patternFill>
    </fill>
    <fill>
      <patternFill patternType="solid">
        <fgColor rgb="FFBFBFBF"/>
        <bgColor rgb="FFD0D0D0"/>
      </patternFill>
    </fill>
    <fill>
      <patternFill patternType="solid">
        <fgColor rgb="FF2F3B52"/>
        <bgColor rgb="FF404040"/>
      </patternFill>
    </fill>
    <fill>
      <patternFill patternType="solid">
        <fgColor rgb="FFFFF8E1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DCE9F7"/>
        <bgColor rgb="FFDDF0E3"/>
      </patternFill>
    </fill>
    <fill>
      <patternFill patternType="solid">
        <fgColor rgb="FF2C5F93"/>
        <bgColor rgb="FF595959"/>
      </patternFill>
    </fill>
    <fill>
      <patternFill patternType="solid">
        <fgColor rgb="FFDDF0E3"/>
        <bgColor rgb="FFDCE9F7"/>
      </patternFill>
    </fill>
    <fill>
      <patternFill patternType="solid">
        <fgColor rgb="FF2F7A47"/>
        <bgColor rgb="FF008080"/>
      </patternFill>
    </fill>
    <fill>
      <patternFill patternType="solid">
        <fgColor rgb="FFFBE7D2"/>
        <bgColor rgb="FFEDEDED"/>
      </patternFill>
    </fill>
    <fill>
      <patternFill patternType="solid">
        <fgColor rgb="FFB2621A"/>
        <bgColor rgb="FF993300"/>
      </patternFill>
    </fill>
    <fill>
      <patternFill patternType="solid">
        <fgColor rgb="FFE8DFF3"/>
        <bgColor rgb="FFDCE9F7"/>
      </patternFill>
    </fill>
    <fill>
      <patternFill patternType="solid">
        <fgColor rgb="FF5E3F88"/>
        <bgColor rgb="FF595959"/>
      </patternFill>
    </fill>
    <fill>
      <patternFill patternType="solid">
        <fgColor rgb="FFF2F2F2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6" borderId="0" xfId="0" applyFont="1" applyFill="1" applyAlignment="1">
      <alignment horizontal="center" vertical="center" shrinkToFit="1"/>
    </xf>
    <xf numFmtId="0" fontId="3" fillId="5" borderId="0" xfId="0" applyFont="1" applyFill="1" applyAlignment="1">
      <alignment horizontal="center" vertical="center" shrinkToFit="1"/>
    </xf>
    <xf numFmtId="0" fontId="3" fillId="4" borderId="0" xfId="0" applyFont="1" applyFill="1" applyAlignment="1">
      <alignment horizontal="center" vertical="center" shrinkToFit="1"/>
    </xf>
    <xf numFmtId="0" fontId="3" fillId="3" borderId="0" xfId="0" applyFont="1" applyFill="1" applyAlignment="1">
      <alignment horizontal="center" vertical="center" shrinkToFit="1"/>
    </xf>
    <xf numFmtId="0" fontId="3" fillId="2" borderId="0" xfId="0" applyFont="1" applyFill="1" applyAlignment="1">
      <alignment horizontal="center" vertical="center" shrinkToFi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textRotation="90"/>
    </xf>
    <xf numFmtId="0" fontId="7" fillId="6" borderId="1" xfId="0" applyFont="1" applyFill="1" applyBorder="1" applyAlignment="1">
      <alignment horizontal="center" vertical="center" textRotation="90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0" fillId="9" borderId="1" xfId="0" applyFill="1" applyBorder="1"/>
    <xf numFmtId="0" fontId="11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2"/>
    </xf>
    <xf numFmtId="0" fontId="0" fillId="2" borderId="1" xfId="0" applyFill="1" applyBorder="1"/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0" fillId="3" borderId="1" xfId="0" applyFill="1" applyBorder="1"/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0" fillId="4" borderId="1" xfId="0" applyFill="1" applyBorder="1"/>
    <xf numFmtId="0" fontId="12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0" fillId="5" borderId="1" xfId="0" applyFill="1" applyBorder="1"/>
    <xf numFmtId="0" fontId="12" fillId="0" borderId="0" xfId="0" applyFont="1"/>
    <xf numFmtId="0" fontId="0" fillId="2" borderId="0" xfId="0" applyFill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left" vertical="center"/>
    </xf>
    <xf numFmtId="0" fontId="17" fillId="0" borderId="0" xfId="0" applyFont="1"/>
    <xf numFmtId="164" fontId="13" fillId="0" borderId="1" xfId="0" applyNumberFormat="1" applyFont="1" applyBorder="1" applyAlignment="1">
      <alignment horizontal="center" vertical="center"/>
    </xf>
    <xf numFmtId="0" fontId="18" fillId="0" borderId="0" xfId="0" applyFont="1"/>
    <xf numFmtId="165" fontId="12" fillId="10" borderId="1" xfId="0" applyNumberFormat="1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2" fillId="12" borderId="1" xfId="0" applyNumberFormat="1" applyFont="1" applyFill="1" applyBorder="1" applyAlignment="1">
      <alignment horizontal="center" vertical="center"/>
    </xf>
    <xf numFmtId="165" fontId="12" fillId="14" borderId="1" xfId="0" applyNumberFormat="1" applyFont="1" applyFill="1" applyBorder="1" applyAlignment="1">
      <alignment horizontal="center" vertical="center"/>
    </xf>
    <xf numFmtId="165" fontId="12" fillId="1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9C0006"/>
        <name val="Tahoma"/>
        <charset val="1"/>
      </font>
      <fill>
        <patternFill>
          <bgColor rgb="FFFFC7CE"/>
        </patternFill>
      </fill>
    </dxf>
    <dxf>
      <font>
        <b/>
        <color rgb="FF9C0006"/>
        <name val="Tahoma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2621A"/>
      <rgbColor rgb="FF800080"/>
      <rgbColor rgb="FF2F7A47"/>
      <rgbColor rgb="FFBFBFBF"/>
      <rgbColor rgb="FF7F7F7F"/>
      <rgbColor rgb="FF9999FF"/>
      <rgbColor rgb="FF595959"/>
      <rgbColor rgb="FFFFF8E1"/>
      <rgbColor rgb="FFDCE9F7"/>
      <rgbColor rgb="FF660066"/>
      <rgbColor rgb="FFE08B3C"/>
      <rgbColor rgb="FF2C5F93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F0E3"/>
      <rgbColor rgb="FFFBE7D2"/>
      <rgbColor rgb="FFE8DFF3"/>
      <rgbColor rgb="FFEDEDED"/>
      <rgbColor rgb="FFCC99FF"/>
      <rgbColor rgb="FFFFC7CE"/>
      <rgbColor rgb="FF4A90D9"/>
      <rgbColor rgb="FF33CCCC"/>
      <rgbColor rgb="FF99CC00"/>
      <rgbColor rgb="FFFFCC00"/>
      <rgbColor rgb="FFD4A000"/>
      <rgbColor rgb="FFFF6600"/>
      <rgbColor rgb="FF8E6BB5"/>
      <rgbColor rgb="FF969696"/>
      <rgbColor rgb="FF003366"/>
      <rgbColor rgb="FF52A66B"/>
      <rgbColor rgb="FF003300"/>
      <rgbColor rgb="FF404040"/>
      <rgbColor rgb="FF993300"/>
      <rgbColor rgb="FF993366"/>
      <rgbColor rgb="FF5E3F88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90D9"/>
    <pageSetUpPr fitToPage="1"/>
  </sheetPr>
  <dimension ref="A1:AF59"/>
  <sheetViews>
    <sheetView showGridLines="0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sqref="A1:B1"/>
    </sheetView>
  </sheetViews>
  <sheetFormatPr defaultColWidth="8.6640625" defaultRowHeight="14.4" x14ac:dyDescent="0.3"/>
  <cols>
    <col min="1" max="1" width="9" customWidth="1"/>
    <col min="2" max="2" width="50" customWidth="1"/>
    <col min="3" max="3" width="6" customWidth="1"/>
    <col min="4" max="4" width="8" customWidth="1"/>
    <col min="5" max="5" width="13" customWidth="1"/>
    <col min="6" max="7" width="12" customWidth="1"/>
    <col min="8" max="8" width="9" customWidth="1"/>
    <col min="9" max="32" width="4.33203125" customWidth="1"/>
  </cols>
  <sheetData>
    <row r="1" spans="1:32" ht="24" customHeight="1" x14ac:dyDescent="0.3">
      <c r="A1" s="7" t="s">
        <v>0</v>
      </c>
      <c r="B1" s="7"/>
      <c r="C1" s="6" t="s">
        <v>1</v>
      </c>
      <c r="D1" s="6"/>
      <c r="E1" s="6"/>
      <c r="F1" s="6"/>
      <c r="G1" s="6"/>
      <c r="H1" s="6"/>
      <c r="I1" s="5" t="s">
        <v>2</v>
      </c>
      <c r="J1" s="5"/>
      <c r="K1" s="5"/>
      <c r="L1" s="4" t="s">
        <v>3</v>
      </c>
      <c r="M1" s="4"/>
      <c r="N1" s="4"/>
      <c r="O1" s="4"/>
      <c r="P1" s="3" t="s">
        <v>4</v>
      </c>
      <c r="Q1" s="3"/>
      <c r="R1" s="3"/>
      <c r="S1" s="3"/>
      <c r="T1" s="3"/>
      <c r="U1" s="2" t="s">
        <v>5</v>
      </c>
      <c r="V1" s="2"/>
      <c r="W1" s="2"/>
      <c r="X1" s="2"/>
      <c r="Y1" s="1" t="s">
        <v>6</v>
      </c>
      <c r="Z1" s="1"/>
      <c r="AA1" s="1"/>
      <c r="AB1" s="1"/>
      <c r="AC1" s="1"/>
      <c r="AD1" s="2" t="s">
        <v>7</v>
      </c>
      <c r="AE1" s="2"/>
      <c r="AF1" s="2"/>
    </row>
    <row r="2" spans="1:32" ht="66" customHeight="1" x14ac:dyDescent="0.3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9" t="s">
        <v>16</v>
      </c>
      <c r="J2" s="9" t="s">
        <v>17</v>
      </c>
      <c r="K2" s="9" t="s">
        <v>18</v>
      </c>
      <c r="L2" s="9" t="s">
        <v>19</v>
      </c>
      <c r="M2" s="9" t="s">
        <v>20</v>
      </c>
      <c r="N2" s="9" t="s">
        <v>21</v>
      </c>
      <c r="O2" s="9" t="s">
        <v>22</v>
      </c>
      <c r="P2" s="9" t="s">
        <v>23</v>
      </c>
      <c r="Q2" s="9" t="s">
        <v>24</v>
      </c>
      <c r="R2" s="9" t="s">
        <v>25</v>
      </c>
      <c r="S2" s="9" t="s">
        <v>26</v>
      </c>
      <c r="T2" s="9" t="s">
        <v>27</v>
      </c>
      <c r="U2" s="9" t="s">
        <v>28</v>
      </c>
      <c r="V2" s="9" t="s">
        <v>29</v>
      </c>
      <c r="W2" s="9" t="s">
        <v>30</v>
      </c>
      <c r="X2" s="9" t="s">
        <v>31</v>
      </c>
      <c r="Y2" s="10" t="s">
        <v>32</v>
      </c>
      <c r="Z2" s="10" t="s">
        <v>33</v>
      </c>
      <c r="AA2" s="10" t="s">
        <v>34</v>
      </c>
      <c r="AB2" s="10" t="s">
        <v>35</v>
      </c>
      <c r="AC2" s="10" t="s">
        <v>36</v>
      </c>
      <c r="AD2" s="9" t="s">
        <v>37</v>
      </c>
      <c r="AE2" s="9" t="s">
        <v>38</v>
      </c>
      <c r="AF2" s="9" t="s">
        <v>39</v>
      </c>
    </row>
    <row r="3" spans="1:32" ht="18" customHeight="1" x14ac:dyDescent="0.3">
      <c r="A3" s="11" t="s">
        <v>40</v>
      </c>
      <c r="B3" s="12" t="s">
        <v>41</v>
      </c>
      <c r="C3" s="13"/>
      <c r="D3" s="13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4"/>
      <c r="J3" s="14"/>
      <c r="K3" s="15" t="s">
        <v>47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6"/>
      <c r="Z3" s="16"/>
      <c r="AA3" s="16"/>
      <c r="AB3" s="16"/>
      <c r="AC3" s="16"/>
      <c r="AD3" s="14"/>
      <c r="AE3" s="14"/>
      <c r="AF3" s="14"/>
    </row>
    <row r="4" spans="1:32" ht="18" customHeight="1" x14ac:dyDescent="0.3">
      <c r="A4" s="11" t="s">
        <v>48</v>
      </c>
      <c r="B4" s="12" t="s">
        <v>49</v>
      </c>
      <c r="C4" s="13"/>
      <c r="D4" s="13" t="s">
        <v>50</v>
      </c>
      <c r="E4" s="13" t="s">
        <v>51</v>
      </c>
      <c r="F4" s="13" t="s">
        <v>52</v>
      </c>
      <c r="G4" s="13" t="s">
        <v>53</v>
      </c>
      <c r="H4" s="13" t="s">
        <v>46</v>
      </c>
      <c r="I4" s="14"/>
      <c r="J4" s="14"/>
      <c r="K4" s="14"/>
      <c r="L4" s="14"/>
      <c r="M4" s="14"/>
      <c r="N4" s="14"/>
      <c r="O4" s="15" t="s">
        <v>47</v>
      </c>
      <c r="P4" s="14"/>
      <c r="Q4" s="14"/>
      <c r="R4" s="14"/>
      <c r="S4" s="14"/>
      <c r="T4" s="14"/>
      <c r="U4" s="14"/>
      <c r="V4" s="14"/>
      <c r="W4" s="14"/>
      <c r="X4" s="14"/>
      <c r="Y4" s="16"/>
      <c r="Z4" s="16"/>
      <c r="AA4" s="16"/>
      <c r="AB4" s="16"/>
      <c r="AC4" s="16"/>
      <c r="AD4" s="14"/>
      <c r="AE4" s="14"/>
      <c r="AF4" s="14"/>
    </row>
    <row r="5" spans="1:32" ht="18" customHeight="1" x14ac:dyDescent="0.3">
      <c r="A5" s="11" t="s">
        <v>54</v>
      </c>
      <c r="B5" s="12" t="s">
        <v>55</v>
      </c>
      <c r="C5" s="13"/>
      <c r="D5" s="13" t="s">
        <v>56</v>
      </c>
      <c r="E5" s="13" t="s">
        <v>57</v>
      </c>
      <c r="F5" s="13" t="s">
        <v>58</v>
      </c>
      <c r="G5" s="13" t="s">
        <v>59</v>
      </c>
      <c r="H5" s="13" t="s">
        <v>46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 t="s">
        <v>47</v>
      </c>
      <c r="U5" s="14"/>
      <c r="V5" s="14"/>
      <c r="W5" s="14"/>
      <c r="X5" s="14"/>
      <c r="Y5" s="16"/>
      <c r="Z5" s="16"/>
      <c r="AA5" s="16"/>
      <c r="AB5" s="16"/>
      <c r="AC5" s="16"/>
      <c r="AD5" s="14"/>
      <c r="AE5" s="14"/>
      <c r="AF5" s="14"/>
    </row>
    <row r="6" spans="1:32" ht="18" customHeight="1" x14ac:dyDescent="0.3">
      <c r="A6" s="11" t="s">
        <v>60</v>
      </c>
      <c r="B6" s="12" t="s">
        <v>61</v>
      </c>
      <c r="C6" s="13"/>
      <c r="D6" s="13" t="s">
        <v>62</v>
      </c>
      <c r="E6" s="13" t="s">
        <v>63</v>
      </c>
      <c r="F6" s="13" t="s">
        <v>64</v>
      </c>
      <c r="G6" s="13" t="s">
        <v>65</v>
      </c>
      <c r="H6" s="13" t="s">
        <v>46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5" t="s">
        <v>47</v>
      </c>
      <c r="Y6" s="16"/>
      <c r="Z6" s="16"/>
      <c r="AA6" s="16"/>
      <c r="AB6" s="16"/>
      <c r="AC6" s="16"/>
      <c r="AD6" s="14"/>
      <c r="AE6" s="14"/>
      <c r="AF6" s="14"/>
    </row>
    <row r="7" spans="1:32" ht="18" customHeight="1" x14ac:dyDescent="0.3">
      <c r="A7" s="11" t="s">
        <v>66</v>
      </c>
      <c r="B7" s="12" t="s">
        <v>67</v>
      </c>
      <c r="C7" s="13"/>
      <c r="D7" s="13" t="s">
        <v>68</v>
      </c>
      <c r="E7" s="13" t="s">
        <v>69</v>
      </c>
      <c r="F7" s="13" t="s">
        <v>70</v>
      </c>
      <c r="G7" s="13" t="s">
        <v>71</v>
      </c>
      <c r="H7" s="13" t="s">
        <v>46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6"/>
      <c r="Z7" s="16"/>
      <c r="AA7" s="16"/>
      <c r="AB7" s="16"/>
      <c r="AC7" s="16"/>
      <c r="AD7" s="14"/>
      <c r="AE7" s="14"/>
      <c r="AF7" s="15" t="s">
        <v>47</v>
      </c>
    </row>
    <row r="8" spans="1:32" ht="18" customHeight="1" x14ac:dyDescent="0.3">
      <c r="A8" s="11" t="s">
        <v>72</v>
      </c>
      <c r="B8" s="12" t="s">
        <v>73</v>
      </c>
      <c r="C8" s="13"/>
      <c r="D8" s="13" t="s">
        <v>42</v>
      </c>
      <c r="E8" s="13" t="s">
        <v>43</v>
      </c>
      <c r="F8" s="13" t="s">
        <v>74</v>
      </c>
      <c r="G8" s="13" t="s">
        <v>74</v>
      </c>
      <c r="H8" s="13" t="s">
        <v>46</v>
      </c>
      <c r="I8" s="14"/>
      <c r="J8" s="14"/>
      <c r="K8" s="17" t="s">
        <v>72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6"/>
      <c r="Z8" s="16"/>
      <c r="AA8" s="16"/>
      <c r="AB8" s="16"/>
      <c r="AC8" s="16"/>
      <c r="AD8" s="14"/>
      <c r="AE8" s="14"/>
      <c r="AF8" s="14"/>
    </row>
    <row r="9" spans="1:32" ht="18.75" customHeight="1" x14ac:dyDescent="0.3">
      <c r="A9" s="18" t="s">
        <v>42</v>
      </c>
      <c r="B9" s="19" t="s">
        <v>75</v>
      </c>
      <c r="C9" s="18">
        <v>18</v>
      </c>
      <c r="D9" s="18" t="s">
        <v>42</v>
      </c>
      <c r="E9" s="18" t="s">
        <v>76</v>
      </c>
      <c r="F9" s="18" t="s">
        <v>77</v>
      </c>
      <c r="G9" s="18" t="s">
        <v>45</v>
      </c>
      <c r="H9" s="18">
        <v>3</v>
      </c>
      <c r="I9" s="20"/>
      <c r="J9" s="20"/>
      <c r="K9" s="20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6"/>
      <c r="Z9" s="16"/>
      <c r="AA9" s="16"/>
      <c r="AB9" s="16"/>
      <c r="AC9" s="16"/>
      <c r="AD9" s="14"/>
      <c r="AE9" s="14"/>
      <c r="AF9" s="14"/>
    </row>
    <row r="10" spans="1:32" ht="16.5" customHeight="1" x14ac:dyDescent="0.3">
      <c r="A10" s="21" t="s">
        <v>78</v>
      </c>
      <c r="B10" s="22" t="s">
        <v>79</v>
      </c>
      <c r="C10" s="21">
        <v>3</v>
      </c>
      <c r="D10" s="21" t="s">
        <v>42</v>
      </c>
      <c r="E10" s="21" t="s">
        <v>80</v>
      </c>
      <c r="F10" s="21" t="s">
        <v>77</v>
      </c>
      <c r="G10" s="21" t="s">
        <v>81</v>
      </c>
      <c r="H10" s="21">
        <v>1</v>
      </c>
      <c r="I10" s="2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6"/>
      <c r="Z10" s="16"/>
      <c r="AA10" s="16"/>
      <c r="AB10" s="16"/>
      <c r="AC10" s="16"/>
      <c r="AD10" s="14"/>
      <c r="AE10" s="14"/>
      <c r="AF10" s="14"/>
    </row>
    <row r="11" spans="1:32" ht="16.5" customHeight="1" x14ac:dyDescent="0.3">
      <c r="A11" s="21" t="s">
        <v>82</v>
      </c>
      <c r="B11" s="22" t="s">
        <v>83</v>
      </c>
      <c r="C11" s="21">
        <v>3</v>
      </c>
      <c r="D11" s="21" t="s">
        <v>42</v>
      </c>
      <c r="E11" s="21" t="s">
        <v>80</v>
      </c>
      <c r="F11" s="21" t="s">
        <v>77</v>
      </c>
      <c r="G11" s="21" t="s">
        <v>81</v>
      </c>
      <c r="H11" s="21">
        <v>1</v>
      </c>
      <c r="I11" s="2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6"/>
      <c r="Z11" s="16"/>
      <c r="AA11" s="16"/>
      <c r="AB11" s="16"/>
      <c r="AC11" s="16"/>
      <c r="AD11" s="14"/>
      <c r="AE11" s="14"/>
      <c r="AF11" s="14"/>
    </row>
    <row r="12" spans="1:32" ht="16.5" customHeight="1" x14ac:dyDescent="0.3">
      <c r="A12" s="21" t="s">
        <v>84</v>
      </c>
      <c r="B12" s="22" t="s">
        <v>85</v>
      </c>
      <c r="C12" s="21">
        <v>4</v>
      </c>
      <c r="D12" s="21" t="s">
        <v>42</v>
      </c>
      <c r="E12" s="21" t="s">
        <v>86</v>
      </c>
      <c r="F12" s="21" t="s">
        <v>87</v>
      </c>
      <c r="G12" s="21" t="s">
        <v>88</v>
      </c>
      <c r="H12" s="21">
        <v>1</v>
      </c>
      <c r="I12" s="14"/>
      <c r="J12" s="2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6"/>
      <c r="Z12" s="16"/>
      <c r="AA12" s="16"/>
      <c r="AB12" s="16"/>
      <c r="AC12" s="16"/>
      <c r="AD12" s="14"/>
      <c r="AE12" s="14"/>
      <c r="AF12" s="14"/>
    </row>
    <row r="13" spans="1:32" ht="16.5" customHeight="1" x14ac:dyDescent="0.3">
      <c r="A13" s="21" t="s">
        <v>89</v>
      </c>
      <c r="B13" s="22" t="s">
        <v>90</v>
      </c>
      <c r="C13" s="21">
        <v>3</v>
      </c>
      <c r="D13" s="21" t="s">
        <v>42</v>
      </c>
      <c r="E13" s="21" t="s">
        <v>86</v>
      </c>
      <c r="F13" s="21" t="s">
        <v>87</v>
      </c>
      <c r="G13" s="21" t="s">
        <v>88</v>
      </c>
      <c r="H13" s="21">
        <v>1</v>
      </c>
      <c r="I13" s="14"/>
      <c r="J13" s="2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6"/>
      <c r="Z13" s="16"/>
      <c r="AA13" s="16"/>
      <c r="AB13" s="16"/>
      <c r="AC13" s="16"/>
      <c r="AD13" s="14"/>
      <c r="AE13" s="14"/>
      <c r="AF13" s="14"/>
    </row>
    <row r="14" spans="1:32" ht="16.5" customHeight="1" x14ac:dyDescent="0.3">
      <c r="A14" s="21" t="s">
        <v>91</v>
      </c>
      <c r="B14" s="22" t="s">
        <v>92</v>
      </c>
      <c r="C14" s="21">
        <v>3</v>
      </c>
      <c r="D14" s="21" t="s">
        <v>42</v>
      </c>
      <c r="E14" s="21" t="s">
        <v>43</v>
      </c>
      <c r="F14" s="21" t="s">
        <v>44</v>
      </c>
      <c r="G14" s="21" t="s">
        <v>45</v>
      </c>
      <c r="H14" s="21">
        <v>1</v>
      </c>
      <c r="I14" s="14"/>
      <c r="J14" s="14"/>
      <c r="K14" s="2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6"/>
      <c r="Z14" s="16"/>
      <c r="AA14" s="16"/>
      <c r="AB14" s="16"/>
      <c r="AC14" s="16"/>
      <c r="AD14" s="14"/>
      <c r="AE14" s="14"/>
      <c r="AF14" s="14"/>
    </row>
    <row r="15" spans="1:32" ht="16.5" customHeight="1" x14ac:dyDescent="0.3">
      <c r="A15" s="21" t="s">
        <v>93</v>
      </c>
      <c r="B15" s="22" t="s">
        <v>94</v>
      </c>
      <c r="C15" s="21">
        <v>2</v>
      </c>
      <c r="D15" s="21" t="s">
        <v>42</v>
      </c>
      <c r="E15" s="21" t="s">
        <v>43</v>
      </c>
      <c r="F15" s="21" t="s">
        <v>44</v>
      </c>
      <c r="G15" s="21" t="s">
        <v>45</v>
      </c>
      <c r="H15" s="21">
        <v>1</v>
      </c>
      <c r="I15" s="14"/>
      <c r="J15" s="14"/>
      <c r="K15" s="2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6"/>
      <c r="Z15" s="16"/>
      <c r="AA15" s="16"/>
      <c r="AB15" s="16"/>
      <c r="AC15" s="16"/>
      <c r="AD15" s="14"/>
      <c r="AE15" s="14"/>
      <c r="AF15" s="14"/>
    </row>
    <row r="16" spans="1:32" ht="18.75" customHeight="1" x14ac:dyDescent="0.3">
      <c r="A16" s="24" t="s">
        <v>50</v>
      </c>
      <c r="B16" s="25" t="s">
        <v>95</v>
      </c>
      <c r="C16" s="24">
        <v>27</v>
      </c>
      <c r="D16" s="24" t="s">
        <v>50</v>
      </c>
      <c r="E16" s="24" t="s">
        <v>96</v>
      </c>
      <c r="F16" s="24" t="s">
        <v>97</v>
      </c>
      <c r="G16" s="24" t="s">
        <v>53</v>
      </c>
      <c r="H16" s="24">
        <v>4</v>
      </c>
      <c r="I16" s="14"/>
      <c r="J16" s="14"/>
      <c r="K16" s="14"/>
      <c r="L16" s="26"/>
      <c r="M16" s="26"/>
      <c r="N16" s="26"/>
      <c r="O16" s="26"/>
      <c r="P16" s="14"/>
      <c r="Q16" s="14"/>
      <c r="R16" s="14"/>
      <c r="S16" s="14"/>
      <c r="T16" s="14"/>
      <c r="U16" s="14"/>
      <c r="V16" s="14"/>
      <c r="W16" s="14"/>
      <c r="X16" s="14"/>
      <c r="Y16" s="16"/>
      <c r="Z16" s="16"/>
      <c r="AA16" s="16"/>
      <c r="AB16" s="16"/>
      <c r="AC16" s="16"/>
      <c r="AD16" s="14"/>
      <c r="AE16" s="14"/>
      <c r="AF16" s="14"/>
    </row>
    <row r="17" spans="1:32" ht="16.5" customHeight="1" x14ac:dyDescent="0.3">
      <c r="A17" s="21" t="s">
        <v>98</v>
      </c>
      <c r="B17" s="22" t="s">
        <v>99</v>
      </c>
      <c r="C17" s="21">
        <v>5</v>
      </c>
      <c r="D17" s="21" t="s">
        <v>50</v>
      </c>
      <c r="E17" s="21" t="s">
        <v>100</v>
      </c>
      <c r="F17" s="21" t="s">
        <v>97</v>
      </c>
      <c r="G17" s="21" t="s">
        <v>101</v>
      </c>
      <c r="H17" s="21">
        <v>1</v>
      </c>
      <c r="I17" s="14"/>
      <c r="J17" s="14"/>
      <c r="K17" s="14"/>
      <c r="L17" s="27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6"/>
      <c r="Z17" s="16"/>
      <c r="AA17" s="16"/>
      <c r="AB17" s="16"/>
      <c r="AC17" s="16"/>
      <c r="AD17" s="14"/>
      <c r="AE17" s="14"/>
      <c r="AF17" s="14"/>
    </row>
    <row r="18" spans="1:32" ht="16.5" customHeight="1" x14ac:dyDescent="0.3">
      <c r="A18" s="21" t="s">
        <v>102</v>
      </c>
      <c r="B18" s="22" t="s">
        <v>103</v>
      </c>
      <c r="C18" s="21">
        <v>4</v>
      </c>
      <c r="D18" s="21" t="s">
        <v>50</v>
      </c>
      <c r="E18" s="21" t="s">
        <v>104</v>
      </c>
      <c r="F18" s="21" t="s">
        <v>105</v>
      </c>
      <c r="G18" s="21" t="s">
        <v>106</v>
      </c>
      <c r="H18" s="21">
        <v>1</v>
      </c>
      <c r="I18" s="14"/>
      <c r="J18" s="14"/>
      <c r="K18" s="14"/>
      <c r="L18" s="14"/>
      <c r="M18" s="27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6"/>
      <c r="Z18" s="16"/>
      <c r="AA18" s="16"/>
      <c r="AB18" s="16"/>
      <c r="AC18" s="16"/>
      <c r="AD18" s="14"/>
      <c r="AE18" s="14"/>
      <c r="AF18" s="14"/>
    </row>
    <row r="19" spans="1:32" ht="16.5" customHeight="1" x14ac:dyDescent="0.3">
      <c r="A19" s="21" t="s">
        <v>107</v>
      </c>
      <c r="B19" s="22" t="s">
        <v>108</v>
      </c>
      <c r="C19" s="21">
        <v>4</v>
      </c>
      <c r="D19" s="21" t="s">
        <v>50</v>
      </c>
      <c r="E19" s="21" t="s">
        <v>109</v>
      </c>
      <c r="F19" s="21" t="s">
        <v>110</v>
      </c>
      <c r="G19" s="21" t="s">
        <v>111</v>
      </c>
      <c r="H19" s="21">
        <v>1</v>
      </c>
      <c r="I19" s="14"/>
      <c r="J19" s="14"/>
      <c r="K19" s="14"/>
      <c r="L19" s="14"/>
      <c r="M19" s="14"/>
      <c r="N19" s="27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6"/>
      <c r="Z19" s="16"/>
      <c r="AA19" s="16"/>
      <c r="AB19" s="16"/>
      <c r="AC19" s="16"/>
      <c r="AD19" s="14"/>
      <c r="AE19" s="14"/>
      <c r="AF19" s="14"/>
    </row>
    <row r="20" spans="1:32" ht="16.5" customHeight="1" x14ac:dyDescent="0.3">
      <c r="A20" s="21" t="s">
        <v>112</v>
      </c>
      <c r="B20" s="22" t="s">
        <v>113</v>
      </c>
      <c r="C20" s="21">
        <v>2</v>
      </c>
      <c r="D20" s="21" t="s">
        <v>50</v>
      </c>
      <c r="E20" s="21" t="s">
        <v>100</v>
      </c>
      <c r="F20" s="21" t="s">
        <v>97</v>
      </c>
      <c r="G20" s="21" t="s">
        <v>101</v>
      </c>
      <c r="H20" s="21">
        <v>1</v>
      </c>
      <c r="I20" s="14"/>
      <c r="J20" s="14"/>
      <c r="K20" s="14"/>
      <c r="L20" s="27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6"/>
      <c r="Z20" s="16"/>
      <c r="AA20" s="16"/>
      <c r="AB20" s="16"/>
      <c r="AC20" s="16"/>
      <c r="AD20" s="14"/>
      <c r="AE20" s="14"/>
      <c r="AF20" s="14"/>
    </row>
    <row r="21" spans="1:32" ht="16.5" customHeight="1" x14ac:dyDescent="0.3">
      <c r="A21" s="21" t="s">
        <v>114</v>
      </c>
      <c r="B21" s="22" t="s">
        <v>115</v>
      </c>
      <c r="C21" s="21">
        <v>3</v>
      </c>
      <c r="D21" s="21" t="s">
        <v>50</v>
      </c>
      <c r="E21" s="21" t="s">
        <v>104</v>
      </c>
      <c r="F21" s="21" t="s">
        <v>105</v>
      </c>
      <c r="G21" s="21" t="s">
        <v>106</v>
      </c>
      <c r="H21" s="21">
        <v>1</v>
      </c>
      <c r="I21" s="14"/>
      <c r="J21" s="14"/>
      <c r="K21" s="14"/>
      <c r="L21" s="14"/>
      <c r="M21" s="27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6"/>
      <c r="Z21" s="16"/>
      <c r="AA21" s="16"/>
      <c r="AB21" s="16"/>
      <c r="AC21" s="16"/>
      <c r="AD21" s="14"/>
      <c r="AE21" s="14"/>
      <c r="AF21" s="14"/>
    </row>
    <row r="22" spans="1:32" ht="16.5" customHeight="1" x14ac:dyDescent="0.3">
      <c r="A22" s="21" t="s">
        <v>116</v>
      </c>
      <c r="B22" s="22" t="s">
        <v>117</v>
      </c>
      <c r="C22" s="21">
        <v>2</v>
      </c>
      <c r="D22" s="21" t="s">
        <v>50</v>
      </c>
      <c r="E22" s="21" t="s">
        <v>109</v>
      </c>
      <c r="F22" s="21" t="s">
        <v>110</v>
      </c>
      <c r="G22" s="21" t="s">
        <v>111</v>
      </c>
      <c r="H22" s="21">
        <v>1</v>
      </c>
      <c r="I22" s="14"/>
      <c r="J22" s="14"/>
      <c r="K22" s="14"/>
      <c r="L22" s="14"/>
      <c r="M22" s="14"/>
      <c r="N22" s="27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6"/>
      <c r="Z22" s="16"/>
      <c r="AA22" s="16"/>
      <c r="AB22" s="16"/>
      <c r="AC22" s="16"/>
      <c r="AD22" s="14"/>
      <c r="AE22" s="14"/>
      <c r="AF22" s="14"/>
    </row>
    <row r="23" spans="1:32" ht="16.5" customHeight="1" x14ac:dyDescent="0.3">
      <c r="A23" s="21" t="s">
        <v>118</v>
      </c>
      <c r="B23" s="22" t="s">
        <v>119</v>
      </c>
      <c r="C23" s="21">
        <v>2</v>
      </c>
      <c r="D23" s="21" t="s">
        <v>50</v>
      </c>
      <c r="E23" s="21" t="s">
        <v>51</v>
      </c>
      <c r="F23" s="21" t="s">
        <v>52</v>
      </c>
      <c r="G23" s="21" t="s">
        <v>53</v>
      </c>
      <c r="H23" s="21">
        <v>1</v>
      </c>
      <c r="I23" s="14"/>
      <c r="J23" s="14"/>
      <c r="K23" s="14"/>
      <c r="L23" s="14"/>
      <c r="M23" s="14"/>
      <c r="N23" s="14"/>
      <c r="O23" s="27"/>
      <c r="P23" s="14"/>
      <c r="Q23" s="14"/>
      <c r="R23" s="14"/>
      <c r="S23" s="14"/>
      <c r="T23" s="14"/>
      <c r="U23" s="14"/>
      <c r="V23" s="14"/>
      <c r="W23" s="14"/>
      <c r="X23" s="14"/>
      <c r="Y23" s="16"/>
      <c r="Z23" s="16"/>
      <c r="AA23" s="16"/>
      <c r="AB23" s="16"/>
      <c r="AC23" s="16"/>
      <c r="AD23" s="14"/>
      <c r="AE23" s="14"/>
      <c r="AF23" s="14"/>
    </row>
    <row r="24" spans="1:32" ht="16.5" customHeight="1" x14ac:dyDescent="0.3">
      <c r="A24" s="21" t="s">
        <v>120</v>
      </c>
      <c r="B24" s="22" t="s">
        <v>121</v>
      </c>
      <c r="C24" s="21">
        <v>2</v>
      </c>
      <c r="D24" s="21" t="s">
        <v>50</v>
      </c>
      <c r="E24" s="21" t="s">
        <v>100</v>
      </c>
      <c r="F24" s="21" t="s">
        <v>97</v>
      </c>
      <c r="G24" s="21" t="s">
        <v>101</v>
      </c>
      <c r="H24" s="21">
        <v>1</v>
      </c>
      <c r="I24" s="14"/>
      <c r="J24" s="14"/>
      <c r="K24" s="14"/>
      <c r="L24" s="27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6"/>
      <c r="Z24" s="16"/>
      <c r="AA24" s="16"/>
      <c r="AB24" s="16"/>
      <c r="AC24" s="16"/>
      <c r="AD24" s="14"/>
      <c r="AE24" s="14"/>
      <c r="AF24" s="14"/>
    </row>
    <row r="25" spans="1:32" ht="16.5" customHeight="1" x14ac:dyDescent="0.3">
      <c r="A25" s="21" t="s">
        <v>122</v>
      </c>
      <c r="B25" s="22" t="s">
        <v>123</v>
      </c>
      <c r="C25" s="21">
        <v>1</v>
      </c>
      <c r="D25" s="21" t="s">
        <v>50</v>
      </c>
      <c r="E25" s="21" t="s">
        <v>109</v>
      </c>
      <c r="F25" s="21" t="s">
        <v>110</v>
      </c>
      <c r="G25" s="21" t="s">
        <v>111</v>
      </c>
      <c r="H25" s="21">
        <v>1</v>
      </c>
      <c r="I25" s="14"/>
      <c r="J25" s="14"/>
      <c r="K25" s="14"/>
      <c r="L25" s="14"/>
      <c r="M25" s="14"/>
      <c r="N25" s="27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6"/>
      <c r="Z25" s="16"/>
      <c r="AA25" s="16"/>
      <c r="AB25" s="16"/>
      <c r="AC25" s="16"/>
      <c r="AD25" s="14"/>
      <c r="AE25" s="14"/>
      <c r="AF25" s="14"/>
    </row>
    <row r="26" spans="1:32" ht="16.5" customHeight="1" x14ac:dyDescent="0.3">
      <c r="A26" s="21" t="s">
        <v>124</v>
      </c>
      <c r="B26" s="22" t="s">
        <v>125</v>
      </c>
      <c r="C26" s="21">
        <v>2</v>
      </c>
      <c r="D26" s="21" t="s">
        <v>50</v>
      </c>
      <c r="E26" s="21" t="s">
        <v>104</v>
      </c>
      <c r="F26" s="21" t="s">
        <v>105</v>
      </c>
      <c r="G26" s="21" t="s">
        <v>106</v>
      </c>
      <c r="H26" s="21">
        <v>1</v>
      </c>
      <c r="I26" s="14"/>
      <c r="J26" s="14"/>
      <c r="K26" s="14"/>
      <c r="L26" s="14"/>
      <c r="M26" s="27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6"/>
      <c r="Z26" s="16"/>
      <c r="AA26" s="16"/>
      <c r="AB26" s="16"/>
      <c r="AC26" s="16"/>
      <c r="AD26" s="14"/>
      <c r="AE26" s="14"/>
      <c r="AF26" s="14"/>
    </row>
    <row r="27" spans="1:32" ht="16.5" customHeight="1" x14ac:dyDescent="0.3">
      <c r="A27" s="21" t="s">
        <v>126</v>
      </c>
      <c r="B27" s="22" t="s">
        <v>127</v>
      </c>
      <c r="C27" s="21">
        <v>2</v>
      </c>
      <c r="D27" s="21" t="s">
        <v>50</v>
      </c>
      <c r="E27" s="21" t="s">
        <v>51</v>
      </c>
      <c r="F27" s="21" t="s">
        <v>52</v>
      </c>
      <c r="G27" s="21" t="s">
        <v>53</v>
      </c>
      <c r="H27" s="21">
        <v>1</v>
      </c>
      <c r="I27" s="14"/>
      <c r="J27" s="14"/>
      <c r="K27" s="14"/>
      <c r="L27" s="14"/>
      <c r="M27" s="14"/>
      <c r="N27" s="14"/>
      <c r="O27" s="27"/>
      <c r="P27" s="14"/>
      <c r="Q27" s="14"/>
      <c r="R27" s="14"/>
      <c r="S27" s="14"/>
      <c r="T27" s="14"/>
      <c r="U27" s="14"/>
      <c r="V27" s="14"/>
      <c r="W27" s="14"/>
      <c r="X27" s="14"/>
      <c r="Y27" s="16"/>
      <c r="Z27" s="16"/>
      <c r="AA27" s="16"/>
      <c r="AB27" s="16"/>
      <c r="AC27" s="16"/>
      <c r="AD27" s="14"/>
      <c r="AE27" s="14"/>
      <c r="AF27" s="14"/>
    </row>
    <row r="28" spans="1:32" ht="18.75" customHeight="1" x14ac:dyDescent="0.3">
      <c r="A28" s="28" t="s">
        <v>56</v>
      </c>
      <c r="B28" s="29" t="s">
        <v>128</v>
      </c>
      <c r="C28" s="28">
        <v>35</v>
      </c>
      <c r="D28" s="28" t="s">
        <v>56</v>
      </c>
      <c r="E28" s="28" t="s">
        <v>129</v>
      </c>
      <c r="F28" s="28" t="s">
        <v>130</v>
      </c>
      <c r="G28" s="28" t="s">
        <v>59</v>
      </c>
      <c r="H28" s="28">
        <v>5</v>
      </c>
      <c r="I28" s="14"/>
      <c r="J28" s="14"/>
      <c r="K28" s="14"/>
      <c r="L28" s="14"/>
      <c r="M28" s="14"/>
      <c r="N28" s="14"/>
      <c r="O28" s="14"/>
      <c r="P28" s="30"/>
      <c r="Q28" s="30"/>
      <c r="R28" s="30"/>
      <c r="S28" s="30"/>
      <c r="T28" s="30"/>
      <c r="U28" s="14"/>
      <c r="V28" s="14"/>
      <c r="W28" s="14"/>
      <c r="X28" s="14"/>
      <c r="Y28" s="16"/>
      <c r="Z28" s="16"/>
      <c r="AA28" s="16"/>
      <c r="AB28" s="16"/>
      <c r="AC28" s="16"/>
      <c r="AD28" s="14"/>
      <c r="AE28" s="14"/>
      <c r="AF28" s="14"/>
    </row>
    <row r="29" spans="1:32" ht="16.5" customHeight="1" x14ac:dyDescent="0.3">
      <c r="A29" s="21" t="s">
        <v>131</v>
      </c>
      <c r="B29" s="22" t="s">
        <v>132</v>
      </c>
      <c r="C29" s="21">
        <v>4</v>
      </c>
      <c r="D29" s="21" t="s">
        <v>56</v>
      </c>
      <c r="E29" s="21" t="s">
        <v>133</v>
      </c>
      <c r="F29" s="21" t="s">
        <v>130</v>
      </c>
      <c r="G29" s="21" t="s">
        <v>134</v>
      </c>
      <c r="H29" s="21">
        <v>1</v>
      </c>
      <c r="I29" s="14"/>
      <c r="J29" s="14"/>
      <c r="K29" s="14"/>
      <c r="L29" s="14"/>
      <c r="M29" s="14"/>
      <c r="N29" s="14"/>
      <c r="O29" s="14"/>
      <c r="P29" s="31"/>
      <c r="Q29" s="14"/>
      <c r="R29" s="14"/>
      <c r="S29" s="14"/>
      <c r="T29" s="14"/>
      <c r="U29" s="14"/>
      <c r="V29" s="14"/>
      <c r="W29" s="14"/>
      <c r="X29" s="14"/>
      <c r="Y29" s="16"/>
      <c r="Z29" s="16"/>
      <c r="AA29" s="16"/>
      <c r="AB29" s="16"/>
      <c r="AC29" s="16"/>
      <c r="AD29" s="14"/>
      <c r="AE29" s="14"/>
      <c r="AF29" s="14"/>
    </row>
    <row r="30" spans="1:32" ht="16.5" customHeight="1" x14ac:dyDescent="0.3">
      <c r="A30" s="21" t="s">
        <v>135</v>
      </c>
      <c r="B30" s="22" t="s">
        <v>136</v>
      </c>
      <c r="C30" s="21">
        <v>6</v>
      </c>
      <c r="D30" s="21" t="s">
        <v>56</v>
      </c>
      <c r="E30" s="21" t="s">
        <v>133</v>
      </c>
      <c r="F30" s="21" t="s">
        <v>130</v>
      </c>
      <c r="G30" s="21" t="s">
        <v>134</v>
      </c>
      <c r="H30" s="21">
        <v>1</v>
      </c>
      <c r="I30" s="14"/>
      <c r="J30" s="14"/>
      <c r="K30" s="14"/>
      <c r="L30" s="14"/>
      <c r="M30" s="14"/>
      <c r="N30" s="14"/>
      <c r="O30" s="14"/>
      <c r="P30" s="31"/>
      <c r="Q30" s="14"/>
      <c r="R30" s="14"/>
      <c r="S30" s="14"/>
      <c r="T30" s="14"/>
      <c r="U30" s="14"/>
      <c r="V30" s="14"/>
      <c r="W30" s="14"/>
      <c r="X30" s="14"/>
      <c r="Y30" s="16"/>
      <c r="Z30" s="16"/>
      <c r="AA30" s="16"/>
      <c r="AB30" s="16"/>
      <c r="AC30" s="16"/>
      <c r="AD30" s="14"/>
      <c r="AE30" s="14"/>
      <c r="AF30" s="14"/>
    </row>
    <row r="31" spans="1:32" ht="16.5" customHeight="1" x14ac:dyDescent="0.3">
      <c r="A31" s="21" t="s">
        <v>137</v>
      </c>
      <c r="B31" s="22" t="s">
        <v>138</v>
      </c>
      <c r="C31" s="21">
        <v>4</v>
      </c>
      <c r="D31" s="21" t="s">
        <v>56</v>
      </c>
      <c r="E31" s="21" t="s">
        <v>139</v>
      </c>
      <c r="F31" s="21" t="s">
        <v>140</v>
      </c>
      <c r="G31" s="21" t="s">
        <v>141</v>
      </c>
      <c r="H31" s="21">
        <v>1</v>
      </c>
      <c r="I31" s="14"/>
      <c r="J31" s="14"/>
      <c r="K31" s="14"/>
      <c r="L31" s="14"/>
      <c r="M31" s="14"/>
      <c r="N31" s="14"/>
      <c r="O31" s="14"/>
      <c r="P31" s="14"/>
      <c r="Q31" s="31"/>
      <c r="R31" s="14"/>
      <c r="S31" s="14"/>
      <c r="T31" s="14"/>
      <c r="U31" s="14"/>
      <c r="V31" s="14"/>
      <c r="W31" s="14"/>
      <c r="X31" s="14"/>
      <c r="Y31" s="16"/>
      <c r="Z31" s="16"/>
      <c r="AA31" s="16"/>
      <c r="AB31" s="16"/>
      <c r="AC31" s="16"/>
      <c r="AD31" s="14"/>
      <c r="AE31" s="14"/>
      <c r="AF31" s="14"/>
    </row>
    <row r="32" spans="1:32" ht="16.5" customHeight="1" x14ac:dyDescent="0.3">
      <c r="A32" s="21" t="s">
        <v>142</v>
      </c>
      <c r="B32" s="22" t="s">
        <v>143</v>
      </c>
      <c r="C32" s="21">
        <v>4</v>
      </c>
      <c r="D32" s="21" t="s">
        <v>56</v>
      </c>
      <c r="E32" s="21" t="s">
        <v>144</v>
      </c>
      <c r="F32" s="21" t="s">
        <v>145</v>
      </c>
      <c r="G32" s="21" t="s">
        <v>146</v>
      </c>
      <c r="H32" s="21">
        <v>1</v>
      </c>
      <c r="I32" s="14"/>
      <c r="J32" s="14"/>
      <c r="K32" s="14"/>
      <c r="L32" s="14"/>
      <c r="M32" s="14"/>
      <c r="N32" s="14"/>
      <c r="O32" s="14"/>
      <c r="P32" s="14"/>
      <c r="Q32" s="14"/>
      <c r="R32" s="31"/>
      <c r="S32" s="14"/>
      <c r="T32" s="14"/>
      <c r="U32" s="14"/>
      <c r="V32" s="14"/>
      <c r="W32" s="14"/>
      <c r="X32" s="14"/>
      <c r="Y32" s="16"/>
      <c r="Z32" s="16"/>
      <c r="AA32" s="16"/>
      <c r="AB32" s="16"/>
      <c r="AC32" s="16"/>
      <c r="AD32" s="14"/>
      <c r="AE32" s="14"/>
      <c r="AF32" s="14"/>
    </row>
    <row r="33" spans="1:32" ht="16.5" customHeight="1" x14ac:dyDescent="0.3">
      <c r="A33" s="21" t="s">
        <v>147</v>
      </c>
      <c r="B33" s="22" t="s">
        <v>148</v>
      </c>
      <c r="C33" s="21">
        <v>3</v>
      </c>
      <c r="D33" s="21" t="s">
        <v>56</v>
      </c>
      <c r="E33" s="21" t="s">
        <v>144</v>
      </c>
      <c r="F33" s="21" t="s">
        <v>145</v>
      </c>
      <c r="G33" s="21" t="s">
        <v>146</v>
      </c>
      <c r="H33" s="21">
        <v>1</v>
      </c>
      <c r="I33" s="14"/>
      <c r="J33" s="14"/>
      <c r="K33" s="14"/>
      <c r="L33" s="14"/>
      <c r="M33" s="14"/>
      <c r="N33" s="14"/>
      <c r="O33" s="14"/>
      <c r="P33" s="14"/>
      <c r="Q33" s="14"/>
      <c r="R33" s="31"/>
      <c r="S33" s="14"/>
      <c r="T33" s="14"/>
      <c r="U33" s="14"/>
      <c r="V33" s="14"/>
      <c r="W33" s="14"/>
      <c r="X33" s="14"/>
      <c r="Y33" s="16"/>
      <c r="Z33" s="16"/>
      <c r="AA33" s="16"/>
      <c r="AB33" s="16"/>
      <c r="AC33" s="16"/>
      <c r="AD33" s="14"/>
      <c r="AE33" s="14"/>
      <c r="AF33" s="14"/>
    </row>
    <row r="34" spans="1:32" ht="16.5" customHeight="1" x14ac:dyDescent="0.3">
      <c r="A34" s="21" t="s">
        <v>149</v>
      </c>
      <c r="B34" s="22" t="s">
        <v>150</v>
      </c>
      <c r="C34" s="21">
        <v>4</v>
      </c>
      <c r="D34" s="21" t="s">
        <v>56</v>
      </c>
      <c r="E34" s="21" t="s">
        <v>151</v>
      </c>
      <c r="F34" s="21" t="s">
        <v>152</v>
      </c>
      <c r="G34" s="21" t="s">
        <v>153</v>
      </c>
      <c r="H34" s="21">
        <v>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31"/>
      <c r="T34" s="14"/>
      <c r="U34" s="14"/>
      <c r="V34" s="14"/>
      <c r="W34" s="14"/>
      <c r="X34" s="14"/>
      <c r="Y34" s="16"/>
      <c r="Z34" s="16"/>
      <c r="AA34" s="16"/>
      <c r="AB34" s="16"/>
      <c r="AC34" s="16"/>
      <c r="AD34" s="14"/>
      <c r="AE34" s="14"/>
      <c r="AF34" s="14"/>
    </row>
    <row r="35" spans="1:32" ht="16.5" customHeight="1" x14ac:dyDescent="0.3">
      <c r="A35" s="21" t="s">
        <v>154</v>
      </c>
      <c r="B35" s="22" t="s">
        <v>155</v>
      </c>
      <c r="C35" s="21">
        <v>4</v>
      </c>
      <c r="D35" s="21" t="s">
        <v>56</v>
      </c>
      <c r="E35" s="21" t="s">
        <v>133</v>
      </c>
      <c r="F35" s="21" t="s">
        <v>130</v>
      </c>
      <c r="G35" s="21" t="s">
        <v>134</v>
      </c>
      <c r="H35" s="21">
        <v>1</v>
      </c>
      <c r="I35" s="14"/>
      <c r="J35" s="14"/>
      <c r="K35" s="14"/>
      <c r="L35" s="14"/>
      <c r="M35" s="14"/>
      <c r="N35" s="14"/>
      <c r="O35" s="14"/>
      <c r="P35" s="31"/>
      <c r="Q35" s="14"/>
      <c r="R35" s="14"/>
      <c r="S35" s="14"/>
      <c r="T35" s="14"/>
      <c r="U35" s="14"/>
      <c r="V35" s="14"/>
      <c r="W35" s="14"/>
      <c r="X35" s="14"/>
      <c r="Y35" s="16"/>
      <c r="Z35" s="16"/>
      <c r="AA35" s="16"/>
      <c r="AB35" s="16"/>
      <c r="AC35" s="16"/>
      <c r="AD35" s="14"/>
      <c r="AE35" s="14"/>
      <c r="AF35" s="14"/>
    </row>
    <row r="36" spans="1:32" ht="16.5" customHeight="1" x14ac:dyDescent="0.3">
      <c r="A36" s="21" t="s">
        <v>156</v>
      </c>
      <c r="B36" s="22" t="s">
        <v>157</v>
      </c>
      <c r="C36" s="21">
        <v>2</v>
      </c>
      <c r="D36" s="21" t="s">
        <v>56</v>
      </c>
      <c r="E36" s="21" t="s">
        <v>139</v>
      </c>
      <c r="F36" s="21" t="s">
        <v>140</v>
      </c>
      <c r="G36" s="21" t="s">
        <v>141</v>
      </c>
      <c r="H36" s="21">
        <v>1</v>
      </c>
      <c r="I36" s="14"/>
      <c r="J36" s="14"/>
      <c r="K36" s="14"/>
      <c r="L36" s="14"/>
      <c r="M36" s="14"/>
      <c r="N36" s="14"/>
      <c r="O36" s="14"/>
      <c r="P36" s="14"/>
      <c r="Q36" s="31"/>
      <c r="R36" s="14"/>
      <c r="S36" s="14"/>
      <c r="T36" s="14"/>
      <c r="U36" s="14"/>
      <c r="V36" s="14"/>
      <c r="W36" s="14"/>
      <c r="X36" s="14"/>
      <c r="Y36" s="16"/>
      <c r="Z36" s="16"/>
      <c r="AA36" s="16"/>
      <c r="AB36" s="16"/>
      <c r="AC36" s="16"/>
      <c r="AD36" s="14"/>
      <c r="AE36" s="14"/>
      <c r="AF36" s="14"/>
    </row>
    <row r="37" spans="1:32" ht="16.5" customHeight="1" x14ac:dyDescent="0.3">
      <c r="A37" s="21" t="s">
        <v>158</v>
      </c>
      <c r="B37" s="22" t="s">
        <v>159</v>
      </c>
      <c r="C37" s="21">
        <v>4</v>
      </c>
      <c r="D37" s="21" t="s">
        <v>56</v>
      </c>
      <c r="E37" s="21" t="s">
        <v>57</v>
      </c>
      <c r="F37" s="21" t="s">
        <v>58</v>
      </c>
      <c r="G37" s="21" t="s">
        <v>59</v>
      </c>
      <c r="H37" s="21">
        <v>1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1"/>
      <c r="U37" s="14"/>
      <c r="V37" s="14"/>
      <c r="W37" s="14"/>
      <c r="X37" s="14"/>
      <c r="Y37" s="16"/>
      <c r="Z37" s="16"/>
      <c r="AA37" s="16"/>
      <c r="AB37" s="16"/>
      <c r="AC37" s="16"/>
      <c r="AD37" s="14"/>
      <c r="AE37" s="14"/>
      <c r="AF37" s="14"/>
    </row>
    <row r="38" spans="1:32" ht="18.75" customHeight="1" x14ac:dyDescent="0.3">
      <c r="A38" s="32" t="s">
        <v>160</v>
      </c>
      <c r="B38" s="33" t="s">
        <v>161</v>
      </c>
      <c r="C38" s="32">
        <v>15</v>
      </c>
      <c r="D38" s="32" t="s">
        <v>62</v>
      </c>
      <c r="E38" s="32" t="s">
        <v>162</v>
      </c>
      <c r="F38" s="32" t="s">
        <v>163</v>
      </c>
      <c r="G38" s="32" t="s">
        <v>65</v>
      </c>
      <c r="H38" s="32">
        <v>4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4"/>
      <c r="V38" s="34"/>
      <c r="W38" s="34"/>
      <c r="X38" s="34"/>
      <c r="Y38" s="16"/>
      <c r="Z38" s="16"/>
      <c r="AA38" s="16"/>
      <c r="AB38" s="16"/>
      <c r="AC38" s="16"/>
      <c r="AD38" s="14"/>
      <c r="AE38" s="14"/>
      <c r="AF38" s="14"/>
    </row>
    <row r="39" spans="1:32" ht="16.5" customHeight="1" x14ac:dyDescent="0.3">
      <c r="A39" s="21" t="s">
        <v>164</v>
      </c>
      <c r="B39" s="22" t="s">
        <v>165</v>
      </c>
      <c r="C39" s="21">
        <v>2</v>
      </c>
      <c r="D39" s="21" t="s">
        <v>62</v>
      </c>
      <c r="E39" s="21" t="s">
        <v>166</v>
      </c>
      <c r="F39" s="21" t="s">
        <v>163</v>
      </c>
      <c r="G39" s="21" t="s">
        <v>167</v>
      </c>
      <c r="H39" s="21">
        <v>1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35"/>
      <c r="V39" s="14"/>
      <c r="W39" s="14"/>
      <c r="X39" s="14"/>
      <c r="Y39" s="16"/>
      <c r="Z39" s="16"/>
      <c r="AA39" s="16"/>
      <c r="AB39" s="16"/>
      <c r="AC39" s="16"/>
      <c r="AD39" s="14"/>
      <c r="AE39" s="14"/>
      <c r="AF39" s="14"/>
    </row>
    <row r="40" spans="1:32" ht="16.5" customHeight="1" x14ac:dyDescent="0.3">
      <c r="A40" s="21" t="s">
        <v>168</v>
      </c>
      <c r="B40" s="22" t="s">
        <v>169</v>
      </c>
      <c r="C40" s="21">
        <v>3</v>
      </c>
      <c r="D40" s="21" t="s">
        <v>62</v>
      </c>
      <c r="E40" s="21" t="s">
        <v>170</v>
      </c>
      <c r="F40" s="21" t="s">
        <v>171</v>
      </c>
      <c r="G40" s="21" t="s">
        <v>172</v>
      </c>
      <c r="H40" s="21">
        <v>1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35"/>
      <c r="W40" s="14"/>
      <c r="X40" s="14"/>
      <c r="Y40" s="16"/>
      <c r="Z40" s="16"/>
      <c r="AA40" s="16"/>
      <c r="AB40" s="16"/>
      <c r="AC40" s="16"/>
      <c r="AD40" s="14"/>
      <c r="AE40" s="14"/>
      <c r="AF40" s="14"/>
    </row>
    <row r="41" spans="1:32" ht="16.5" customHeight="1" x14ac:dyDescent="0.3">
      <c r="A41" s="21" t="s">
        <v>173</v>
      </c>
      <c r="B41" s="22" t="s">
        <v>174</v>
      </c>
      <c r="C41" s="21">
        <v>2</v>
      </c>
      <c r="D41" s="21" t="s">
        <v>62</v>
      </c>
      <c r="E41" s="21" t="s">
        <v>175</v>
      </c>
      <c r="F41" s="21" t="s">
        <v>176</v>
      </c>
      <c r="G41" s="21" t="s">
        <v>177</v>
      </c>
      <c r="H41" s="21">
        <v>1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35"/>
      <c r="X41" s="14"/>
      <c r="Y41" s="16"/>
      <c r="Z41" s="16"/>
      <c r="AA41" s="16"/>
      <c r="AB41" s="16"/>
      <c r="AC41" s="16"/>
      <c r="AD41" s="14"/>
      <c r="AE41" s="14"/>
      <c r="AF41" s="14"/>
    </row>
    <row r="42" spans="1:32" ht="16.5" customHeight="1" x14ac:dyDescent="0.3">
      <c r="A42" s="21" t="s">
        <v>178</v>
      </c>
      <c r="B42" s="22" t="s">
        <v>179</v>
      </c>
      <c r="C42" s="21">
        <v>3</v>
      </c>
      <c r="D42" s="21" t="s">
        <v>62</v>
      </c>
      <c r="E42" s="21" t="s">
        <v>63</v>
      </c>
      <c r="F42" s="21" t="s">
        <v>64</v>
      </c>
      <c r="G42" s="21" t="s">
        <v>65</v>
      </c>
      <c r="H42" s="21">
        <v>1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35"/>
      <c r="Y42" s="16"/>
      <c r="Z42" s="16"/>
      <c r="AA42" s="16"/>
      <c r="AB42" s="16"/>
      <c r="AC42" s="16"/>
      <c r="AD42" s="14"/>
      <c r="AE42" s="14"/>
      <c r="AF42" s="14"/>
    </row>
    <row r="43" spans="1:32" ht="16.5" customHeight="1" x14ac:dyDescent="0.3">
      <c r="A43" s="21" t="s">
        <v>180</v>
      </c>
      <c r="B43" s="22" t="s">
        <v>181</v>
      </c>
      <c r="C43" s="21">
        <v>2</v>
      </c>
      <c r="D43" s="21" t="s">
        <v>62</v>
      </c>
      <c r="E43" s="21" t="s">
        <v>175</v>
      </c>
      <c r="F43" s="21" t="s">
        <v>176</v>
      </c>
      <c r="G43" s="21" t="s">
        <v>177</v>
      </c>
      <c r="H43" s="21">
        <v>1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35"/>
      <c r="X43" s="14"/>
      <c r="Y43" s="16"/>
      <c r="Z43" s="16"/>
      <c r="AA43" s="16"/>
      <c r="AB43" s="16"/>
      <c r="AC43" s="16"/>
      <c r="AD43" s="14"/>
      <c r="AE43" s="14"/>
      <c r="AF43" s="14"/>
    </row>
    <row r="44" spans="1:32" ht="16.5" customHeight="1" x14ac:dyDescent="0.3">
      <c r="A44" s="21" t="s">
        <v>182</v>
      </c>
      <c r="B44" s="22" t="s">
        <v>183</v>
      </c>
      <c r="C44" s="21">
        <v>1</v>
      </c>
      <c r="D44" s="21" t="s">
        <v>62</v>
      </c>
      <c r="E44" s="21" t="s">
        <v>175</v>
      </c>
      <c r="F44" s="21" t="s">
        <v>176</v>
      </c>
      <c r="G44" s="21" t="s">
        <v>177</v>
      </c>
      <c r="H44" s="21">
        <v>1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35"/>
      <c r="X44" s="14"/>
      <c r="Y44" s="16"/>
      <c r="Z44" s="16"/>
      <c r="AA44" s="16"/>
      <c r="AB44" s="16"/>
      <c r="AC44" s="16"/>
      <c r="AD44" s="14"/>
      <c r="AE44" s="14"/>
      <c r="AF44" s="14"/>
    </row>
    <row r="45" spans="1:32" ht="16.5" customHeight="1" x14ac:dyDescent="0.3">
      <c r="A45" s="21" t="s">
        <v>184</v>
      </c>
      <c r="B45" s="22" t="s">
        <v>185</v>
      </c>
      <c r="C45" s="21">
        <v>2</v>
      </c>
      <c r="D45" s="21" t="s">
        <v>62</v>
      </c>
      <c r="E45" s="21" t="s">
        <v>63</v>
      </c>
      <c r="F45" s="21" t="s">
        <v>64</v>
      </c>
      <c r="G45" s="21" t="s">
        <v>65</v>
      </c>
      <c r="H45" s="21">
        <v>1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35"/>
      <c r="Y45" s="16"/>
      <c r="Z45" s="16"/>
      <c r="AA45" s="16"/>
      <c r="AB45" s="16"/>
      <c r="AC45" s="16"/>
      <c r="AD45" s="14"/>
      <c r="AE45" s="14"/>
      <c r="AF45" s="14"/>
    </row>
    <row r="46" spans="1:32" ht="18.75" customHeight="1" x14ac:dyDescent="0.3">
      <c r="A46" s="32" t="s">
        <v>186</v>
      </c>
      <c r="B46" s="33" t="s">
        <v>187</v>
      </c>
      <c r="C46" s="32">
        <v>5</v>
      </c>
      <c r="D46" s="32" t="s">
        <v>188</v>
      </c>
      <c r="E46" s="32" t="s">
        <v>189</v>
      </c>
      <c r="F46" s="32" t="s">
        <v>64</v>
      </c>
      <c r="G46" s="32" t="s">
        <v>71</v>
      </c>
      <c r="H46" s="32">
        <v>4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34"/>
      <c r="Y46" s="16"/>
      <c r="Z46" s="16"/>
      <c r="AA46" s="16"/>
      <c r="AB46" s="16"/>
      <c r="AC46" s="16"/>
      <c r="AD46" s="34"/>
      <c r="AE46" s="34"/>
      <c r="AF46" s="34"/>
    </row>
    <row r="47" spans="1:32" ht="16.5" customHeight="1" x14ac:dyDescent="0.3">
      <c r="A47" s="21" t="s">
        <v>190</v>
      </c>
      <c r="B47" s="22" t="s">
        <v>191</v>
      </c>
      <c r="C47" s="21">
        <v>2</v>
      </c>
      <c r="D47" s="21" t="s">
        <v>62</v>
      </c>
      <c r="E47" s="21" t="s">
        <v>63</v>
      </c>
      <c r="F47" s="21" t="s">
        <v>64</v>
      </c>
      <c r="G47" s="21" t="s">
        <v>65</v>
      </c>
      <c r="H47" s="21">
        <v>1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35"/>
      <c r="Y47" s="16"/>
      <c r="Z47" s="16"/>
      <c r="AA47" s="16"/>
      <c r="AB47" s="16"/>
      <c r="AC47" s="16"/>
      <c r="AD47" s="14"/>
      <c r="AE47" s="14"/>
      <c r="AF47" s="14"/>
    </row>
    <row r="48" spans="1:32" ht="16.5" customHeight="1" x14ac:dyDescent="0.3">
      <c r="A48" s="21" t="s">
        <v>192</v>
      </c>
      <c r="B48" s="22" t="s">
        <v>193</v>
      </c>
      <c r="C48" s="21">
        <v>1</v>
      </c>
      <c r="D48" s="21" t="s">
        <v>68</v>
      </c>
      <c r="E48" s="21" t="s">
        <v>194</v>
      </c>
      <c r="F48" s="21" t="s">
        <v>195</v>
      </c>
      <c r="G48" s="21" t="s">
        <v>196</v>
      </c>
      <c r="H48" s="21">
        <v>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6"/>
      <c r="Z48" s="16"/>
      <c r="AA48" s="16"/>
      <c r="AB48" s="16"/>
      <c r="AC48" s="16"/>
      <c r="AD48" s="35"/>
      <c r="AE48" s="14"/>
      <c r="AF48" s="14"/>
    </row>
    <row r="49" spans="1:32" ht="16.5" customHeight="1" x14ac:dyDescent="0.3">
      <c r="A49" s="21" t="s">
        <v>197</v>
      </c>
      <c r="B49" s="22" t="s">
        <v>198</v>
      </c>
      <c r="C49" s="21">
        <v>1</v>
      </c>
      <c r="D49" s="21" t="s">
        <v>68</v>
      </c>
      <c r="E49" s="21" t="s">
        <v>199</v>
      </c>
      <c r="F49" s="21" t="s">
        <v>200</v>
      </c>
      <c r="G49" s="21" t="s">
        <v>201</v>
      </c>
      <c r="H49" s="21">
        <v>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6"/>
      <c r="Z49" s="16"/>
      <c r="AA49" s="16"/>
      <c r="AB49" s="16"/>
      <c r="AC49" s="16"/>
      <c r="AD49" s="14"/>
      <c r="AE49" s="35"/>
      <c r="AF49" s="14"/>
    </row>
    <row r="50" spans="1:32" ht="16.5" customHeight="1" x14ac:dyDescent="0.3">
      <c r="A50" s="21" t="s">
        <v>202</v>
      </c>
      <c r="B50" s="22" t="s">
        <v>203</v>
      </c>
      <c r="C50" s="21">
        <v>1</v>
      </c>
      <c r="D50" s="21" t="s">
        <v>68</v>
      </c>
      <c r="E50" s="21" t="s">
        <v>69</v>
      </c>
      <c r="F50" s="21" t="s">
        <v>70</v>
      </c>
      <c r="G50" s="21" t="s">
        <v>71</v>
      </c>
      <c r="H50" s="21">
        <v>1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6"/>
      <c r="Z50" s="16"/>
      <c r="AA50" s="16"/>
      <c r="AB50" s="16"/>
      <c r="AC50" s="16"/>
      <c r="AD50" s="14"/>
      <c r="AE50" s="14"/>
      <c r="AF50" s="35"/>
    </row>
    <row r="52" spans="1:32" x14ac:dyDescent="0.3">
      <c r="A52" s="36" t="s">
        <v>204</v>
      </c>
    </row>
    <row r="53" spans="1:32" x14ac:dyDescent="0.3">
      <c r="A53" s="37"/>
      <c r="B53" s="38" t="s">
        <v>205</v>
      </c>
    </row>
    <row r="54" spans="1:32" x14ac:dyDescent="0.3">
      <c r="A54" s="39"/>
      <c r="B54" s="38" t="s">
        <v>206</v>
      </c>
    </row>
    <row r="55" spans="1:32" x14ac:dyDescent="0.3">
      <c r="A55" s="40"/>
      <c r="B55" s="38" t="s">
        <v>207</v>
      </c>
    </row>
    <row r="56" spans="1:32" x14ac:dyDescent="0.3">
      <c r="A56" s="41"/>
      <c r="B56" s="38" t="s">
        <v>208</v>
      </c>
    </row>
    <row r="57" spans="1:32" x14ac:dyDescent="0.3">
      <c r="A57" s="42"/>
      <c r="B57" s="38" t="s">
        <v>209</v>
      </c>
    </row>
    <row r="59" spans="1:32" x14ac:dyDescent="0.3">
      <c r="A59" s="43" t="s">
        <v>210</v>
      </c>
    </row>
  </sheetData>
  <mergeCells count="8">
    <mergeCell ref="U1:X1"/>
    <mergeCell ref="Y1:AC1"/>
    <mergeCell ref="AD1:AF1"/>
    <mergeCell ref="A1:B1"/>
    <mergeCell ref="C1:H1"/>
    <mergeCell ref="I1:K1"/>
    <mergeCell ref="L1:O1"/>
    <mergeCell ref="P1:T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A66B"/>
    <pageSetUpPr fitToPage="1"/>
  </sheetPr>
  <dimension ref="A1:J23"/>
  <sheetViews>
    <sheetView showGridLines="0" zoomScaleNormal="100" workbookViewId="0">
      <selection activeCell="C26" sqref="C26"/>
    </sheetView>
  </sheetViews>
  <sheetFormatPr defaultColWidth="8.6640625" defaultRowHeight="14.4" x14ac:dyDescent="0.3"/>
  <cols>
    <col min="1" max="1" width="13" customWidth="1"/>
    <col min="2" max="2" width="52" customWidth="1"/>
    <col min="3" max="4" width="14" customWidth="1"/>
    <col min="5" max="5" width="30" customWidth="1"/>
    <col min="6" max="6" width="15" customWidth="1"/>
    <col min="7" max="7" width="11" customWidth="1"/>
    <col min="8" max="8" width="14" customWidth="1"/>
    <col min="9" max="9" width="26" customWidth="1"/>
    <col min="10" max="10" width="46" customWidth="1"/>
  </cols>
  <sheetData>
    <row r="1" spans="1:10" ht="17.399999999999999" x14ac:dyDescent="0.3">
      <c r="A1" s="44" t="s">
        <v>211</v>
      </c>
    </row>
    <row r="2" spans="1:10" x14ac:dyDescent="0.3">
      <c r="A2" s="45" t="s">
        <v>212</v>
      </c>
    </row>
    <row r="4" spans="1:10" ht="33.75" customHeight="1" x14ac:dyDescent="0.3">
      <c r="A4" s="8" t="s">
        <v>213</v>
      </c>
      <c r="B4" s="8" t="s">
        <v>214</v>
      </c>
      <c r="C4" s="8" t="s">
        <v>215</v>
      </c>
      <c r="D4" s="8" t="s">
        <v>13</v>
      </c>
      <c r="E4" s="8" t="s">
        <v>14</v>
      </c>
      <c r="F4" s="8" t="s">
        <v>216</v>
      </c>
      <c r="G4" s="8" t="s">
        <v>217</v>
      </c>
      <c r="H4" s="8" t="s">
        <v>218</v>
      </c>
      <c r="I4" s="8" t="s">
        <v>219</v>
      </c>
      <c r="J4" s="8" t="s">
        <v>220</v>
      </c>
    </row>
    <row r="5" spans="1:10" ht="31.5" customHeight="1" x14ac:dyDescent="0.3">
      <c r="A5" s="46" t="s">
        <v>2</v>
      </c>
      <c r="B5" s="47" t="s">
        <v>221</v>
      </c>
      <c r="C5" s="21" t="s">
        <v>76</v>
      </c>
      <c r="D5" s="21" t="s">
        <v>77</v>
      </c>
      <c r="E5" s="21" t="s">
        <v>45</v>
      </c>
      <c r="F5" s="21">
        <v>3</v>
      </c>
      <c r="G5" s="21">
        <f>COUNTIFS('ข้อมูล WBS'!$B$2:$B$43,"ย่อย",'ข้อมูล WBS'!$F$2:$F$43,$A5)</f>
        <v>6</v>
      </c>
      <c r="H5" s="21">
        <f>SUMIFS('ข้อมูล WBS'!$D$2:$D$43,'ข้อมูล WBS'!$B$2:$B$43,"ย่อย",'ข้อมูล WBS'!$F$2:$F$43,$A5)</f>
        <v>18</v>
      </c>
      <c r="I5" s="48" t="s">
        <v>222</v>
      </c>
      <c r="J5" s="47" t="s">
        <v>223</v>
      </c>
    </row>
    <row r="6" spans="1:10" ht="31.5" customHeight="1" x14ac:dyDescent="0.3">
      <c r="A6" s="49" t="s">
        <v>3</v>
      </c>
      <c r="B6" s="47" t="s">
        <v>224</v>
      </c>
      <c r="C6" s="21" t="s">
        <v>96</v>
      </c>
      <c r="D6" s="21" t="s">
        <v>97</v>
      </c>
      <c r="E6" s="21" t="s">
        <v>53</v>
      </c>
      <c r="F6" s="21">
        <v>4</v>
      </c>
      <c r="G6" s="21">
        <f>COUNTIFS('ข้อมูล WBS'!$B$2:$B$43,"ย่อย",'ข้อมูล WBS'!$F$2:$F$43,$A6)</f>
        <v>11</v>
      </c>
      <c r="H6" s="21">
        <f>SUMIFS('ข้อมูล WBS'!$D$2:$D$43,'ข้อมูล WBS'!$B$2:$B$43,"ย่อย",'ข้อมูล WBS'!$F$2:$F$43,$A6)</f>
        <v>29</v>
      </c>
      <c r="I6" s="48" t="s">
        <v>225</v>
      </c>
      <c r="J6" s="47" t="s">
        <v>226</v>
      </c>
    </row>
    <row r="7" spans="1:10" ht="31.5" customHeight="1" x14ac:dyDescent="0.3">
      <c r="A7" s="50" t="s">
        <v>4</v>
      </c>
      <c r="B7" s="47" t="s">
        <v>227</v>
      </c>
      <c r="C7" s="21" t="s">
        <v>129</v>
      </c>
      <c r="D7" s="21" t="s">
        <v>130</v>
      </c>
      <c r="E7" s="21" t="s">
        <v>59</v>
      </c>
      <c r="F7" s="21">
        <v>5</v>
      </c>
      <c r="G7" s="21">
        <f>COUNTIFS('ข้อมูล WBS'!$B$2:$B$43,"ย่อย",'ข้อมูล WBS'!$F$2:$F$43,$A7)</f>
        <v>9</v>
      </c>
      <c r="H7" s="21">
        <f>SUMIFS('ข้อมูล WBS'!$D$2:$D$43,'ข้อมูล WBS'!$B$2:$B$43,"ย่อย",'ข้อมูล WBS'!$F$2:$F$43,$A7)</f>
        <v>35</v>
      </c>
      <c r="I7" s="48" t="s">
        <v>228</v>
      </c>
      <c r="J7" s="47" t="s">
        <v>229</v>
      </c>
    </row>
    <row r="8" spans="1:10" ht="31.5" customHeight="1" x14ac:dyDescent="0.3">
      <c r="A8" s="51" t="s">
        <v>230</v>
      </c>
      <c r="B8" s="47" t="s">
        <v>231</v>
      </c>
      <c r="C8" s="21" t="s">
        <v>162</v>
      </c>
      <c r="D8" s="21" t="s">
        <v>163</v>
      </c>
      <c r="E8" s="21" t="s">
        <v>65</v>
      </c>
      <c r="F8" s="21">
        <v>4</v>
      </c>
      <c r="G8" s="21">
        <f>COUNTIFS('ข้อมูล WBS'!$B$2:$B$43,"ย่อย",'ข้อมูล WBS'!$F$2:$F$43,$A8)</f>
        <v>8</v>
      </c>
      <c r="H8" s="21">
        <f>SUMIFS('ข้อมูล WBS'!$D$2:$D$43,'ข้อมูล WBS'!$B$2:$B$43,"ย่อย",'ข้อมูล WBS'!$F$2:$F$43,$A8)</f>
        <v>17</v>
      </c>
      <c r="I8" s="48" t="s">
        <v>232</v>
      </c>
      <c r="J8" s="47" t="s">
        <v>233</v>
      </c>
    </row>
    <row r="9" spans="1:10" ht="31.5" customHeight="1" x14ac:dyDescent="0.3">
      <c r="A9" s="51" t="s">
        <v>234</v>
      </c>
      <c r="B9" s="47" t="s">
        <v>235</v>
      </c>
      <c r="C9" s="21" t="s">
        <v>236</v>
      </c>
      <c r="D9" s="21" t="s">
        <v>195</v>
      </c>
      <c r="E9" s="21" t="s">
        <v>71</v>
      </c>
      <c r="F9" s="21">
        <v>3</v>
      </c>
      <c r="G9" s="21">
        <f>COUNTIFS('ข้อมูล WBS'!$B$2:$B$43,"ย่อย",'ข้อมูล WBS'!$F$2:$F$43,$A9)</f>
        <v>3</v>
      </c>
      <c r="H9" s="21">
        <f>SUMIFS('ข้อมูล WBS'!$D$2:$D$43,'ข้อมูล WBS'!$B$2:$B$43,"ย่อย",'ข้อมูล WBS'!$F$2:$F$43,$A9)</f>
        <v>3</v>
      </c>
      <c r="I9" s="48" t="s">
        <v>237</v>
      </c>
      <c r="J9" s="47" t="s">
        <v>238</v>
      </c>
    </row>
    <row r="10" spans="1:10" x14ac:dyDescent="0.3">
      <c r="A10" s="52" t="s">
        <v>239</v>
      </c>
      <c r="B10" s="53" t="s">
        <v>240</v>
      </c>
      <c r="C10" s="52"/>
      <c r="D10" s="52"/>
      <c r="E10" s="52"/>
      <c r="F10" s="52">
        <f>SUM(F5:F9)</f>
        <v>19</v>
      </c>
      <c r="G10" s="52">
        <f>SUM(G5:G9)</f>
        <v>37</v>
      </c>
      <c r="H10" s="52">
        <f>SUM(H5:H9)</f>
        <v>102</v>
      </c>
      <c r="I10" s="52"/>
      <c r="J10" s="52"/>
    </row>
    <row r="12" spans="1:10" x14ac:dyDescent="0.3">
      <c r="A12" s="54" t="s">
        <v>241</v>
      </c>
    </row>
    <row r="13" spans="1:10" ht="30" customHeight="1" x14ac:dyDescent="0.3">
      <c r="A13" s="8" t="s">
        <v>242</v>
      </c>
      <c r="B13" s="8" t="s">
        <v>243</v>
      </c>
      <c r="C13" s="8" t="s">
        <v>244</v>
      </c>
      <c r="D13" s="8" t="s">
        <v>245</v>
      </c>
      <c r="E13" s="8" t="s">
        <v>246</v>
      </c>
    </row>
    <row r="14" spans="1:10" x14ac:dyDescent="0.3">
      <c r="A14" s="55">
        <v>1</v>
      </c>
      <c r="B14" s="21">
        <f>SUMIFS('ข้อมูล WBS'!$D$2:$D$43,'ข้อมูล WBS'!$B$2:$B$43,"งานหลัก",'ข้อมูล WBS'!$E$2:$E$43,$A14)</f>
        <v>18</v>
      </c>
      <c r="C14" s="21">
        <f>SUMIFS('ข้อมูล WBS'!$D$2:$D$43,'ข้อมูล WBS'!$B$2:$B$43,"ย่อย",'ข้อมูล WBS'!$E$2:$E$43,$A14)</f>
        <v>18</v>
      </c>
      <c r="D14" s="21">
        <f>C14-B14</f>
        <v>0</v>
      </c>
      <c r="E14" s="21" t="str">
        <f>IF(D14=0,"✔ ตรงกัน","⚠ ไม่ตรง — ตรวจสอบ WBS")</f>
        <v>✔ ตรงกัน</v>
      </c>
    </row>
    <row r="15" spans="1:10" x14ac:dyDescent="0.3">
      <c r="A15" s="55">
        <v>2</v>
      </c>
      <c r="B15" s="21">
        <f>SUMIFS('ข้อมูล WBS'!$D$2:$D$43,'ข้อมูล WBS'!$B$2:$B$43,"งานหลัก",'ข้อมูล WBS'!$E$2:$E$43,$A15)</f>
        <v>27</v>
      </c>
      <c r="C15" s="21">
        <f>SUMIFS('ข้อมูล WBS'!$D$2:$D$43,'ข้อมูล WBS'!$B$2:$B$43,"ย่อย",'ข้อมูล WBS'!$E$2:$E$43,$A15)</f>
        <v>29</v>
      </c>
      <c r="D15" s="21">
        <f>C15-B15</f>
        <v>2</v>
      </c>
      <c r="E15" s="21"/>
    </row>
    <row r="16" spans="1:10" x14ac:dyDescent="0.3">
      <c r="A16" s="55">
        <v>3</v>
      </c>
      <c r="B16" s="21">
        <f>SUMIFS('ข้อมูล WBS'!$D$2:$D$43,'ข้อมูล WBS'!$B$2:$B$43,"งานหลัก",'ข้อมูล WBS'!$E$2:$E$43,$A16)</f>
        <v>35</v>
      </c>
      <c r="C16" s="21">
        <f>SUMIFS('ข้อมูล WBS'!$D$2:$D$43,'ข้อมูล WBS'!$B$2:$B$43,"ย่อย",'ข้อมูล WBS'!$E$2:$E$43,$A16)</f>
        <v>35</v>
      </c>
      <c r="D16" s="21">
        <f>C16-B16</f>
        <v>0</v>
      </c>
      <c r="E16" s="21" t="str">
        <f>IF(D16=0,"✔ ตรงกัน","⚠ ไม่ตรง — ตรวจสอบ WBS")</f>
        <v>✔ ตรงกัน</v>
      </c>
    </row>
    <row r="17" spans="1:5" x14ac:dyDescent="0.3">
      <c r="A17" s="55">
        <v>4</v>
      </c>
      <c r="B17" s="21">
        <f>SUMIFS('ข้อมูล WBS'!$D$2:$D$43,'ข้อมูล WBS'!$B$2:$B$43,"งานหลัก",'ข้อมูล WBS'!$E$2:$E$43,$A17)</f>
        <v>20</v>
      </c>
      <c r="C17" s="21">
        <f>SUMIFS('ข้อมูล WBS'!$D$2:$D$43,'ข้อมูล WBS'!$B$2:$B$43,"ย่อย",'ข้อมูล WBS'!$E$2:$E$43,$A17)</f>
        <v>20</v>
      </c>
      <c r="D17" s="21">
        <f>C17-B17</f>
        <v>0</v>
      </c>
      <c r="E17" s="21" t="str">
        <f>IF(D17=0,"✔ ตรงกัน","⚠ ไม่ตรง — ตรวจสอบ WBS")</f>
        <v>✔ ตรงกัน</v>
      </c>
    </row>
    <row r="18" spans="1:5" x14ac:dyDescent="0.3">
      <c r="A18" s="52" t="s">
        <v>239</v>
      </c>
      <c r="B18" s="52">
        <f>SUM(B14:B17)</f>
        <v>100</v>
      </c>
      <c r="C18" s="52">
        <f>SUM(C14:C17)</f>
        <v>102</v>
      </c>
      <c r="D18" s="52">
        <f>C18-B18</f>
        <v>2</v>
      </c>
      <c r="E18" s="52"/>
    </row>
    <row r="20" spans="1:5" x14ac:dyDescent="0.3">
      <c r="A20" s="36" t="s">
        <v>247</v>
      </c>
    </row>
    <row r="21" spans="1:5" x14ac:dyDescent="0.3">
      <c r="A21" s="43"/>
    </row>
    <row r="22" spans="1:5" x14ac:dyDescent="0.3">
      <c r="A22" s="56" t="s">
        <v>248</v>
      </c>
    </row>
    <row r="23" spans="1:5" x14ac:dyDescent="0.3">
      <c r="A23" s="56" t="s">
        <v>249</v>
      </c>
    </row>
  </sheetData>
  <conditionalFormatting sqref="D14:D18">
    <cfRule type="cellIs" dxfId="1" priority="2" operator="notEqual">
      <formula>0</formula>
    </cfRule>
  </conditionalFormatting>
  <conditionalFormatting sqref="E14:E18">
    <cfRule type="expression" dxfId="0" priority="3">
      <formula>$D14&lt;&gt;0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  <pageSetUpPr fitToPage="1"/>
  </sheetPr>
  <dimension ref="A1:L4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52" customWidth="1"/>
    <col min="4" max="4" width="6" customWidth="1"/>
    <col min="5" max="5" width="11" customWidth="1"/>
    <col min="6" max="6" width="12" customWidth="1"/>
    <col min="7" max="7" width="34" customWidth="1"/>
    <col min="8" max="8" width="12" customWidth="1"/>
    <col min="9" max="9" width="11" customWidth="1"/>
    <col min="10" max="12" width="13" customWidth="1"/>
  </cols>
  <sheetData>
    <row r="1" spans="1:12" ht="21.75" customHeight="1" x14ac:dyDescent="0.3">
      <c r="A1" s="8" t="s">
        <v>8</v>
      </c>
      <c r="B1" s="8" t="s">
        <v>250</v>
      </c>
      <c r="C1" s="8" t="s">
        <v>9</v>
      </c>
      <c r="D1" s="8" t="s">
        <v>10</v>
      </c>
      <c r="E1" s="8" t="s">
        <v>242</v>
      </c>
      <c r="F1" s="8" t="s">
        <v>213</v>
      </c>
      <c r="G1" s="8" t="s">
        <v>251</v>
      </c>
      <c r="H1" s="8" t="s">
        <v>252</v>
      </c>
      <c r="I1" s="8" t="s">
        <v>253</v>
      </c>
      <c r="J1" s="8" t="s">
        <v>13</v>
      </c>
      <c r="K1" s="8" t="s">
        <v>14</v>
      </c>
      <c r="L1" s="8" t="s">
        <v>254</v>
      </c>
    </row>
    <row r="2" spans="1:12" x14ac:dyDescent="0.3">
      <c r="A2" s="18" t="s">
        <v>42</v>
      </c>
      <c r="B2" s="18" t="s">
        <v>255</v>
      </c>
      <c r="C2" s="19" t="s">
        <v>75</v>
      </c>
      <c r="D2" s="18">
        <v>18</v>
      </c>
      <c r="E2" s="18">
        <v>1</v>
      </c>
      <c r="F2" s="18" t="s">
        <v>2</v>
      </c>
      <c r="G2" s="19" t="s">
        <v>223</v>
      </c>
      <c r="H2" s="18">
        <v>1</v>
      </c>
      <c r="I2" s="18">
        <v>3</v>
      </c>
      <c r="J2" s="57">
        <v>46273</v>
      </c>
      <c r="K2" s="57">
        <v>46293</v>
      </c>
      <c r="L2" s="18">
        <v>3</v>
      </c>
    </row>
    <row r="3" spans="1:12" x14ac:dyDescent="0.3">
      <c r="A3" s="21" t="s">
        <v>78</v>
      </c>
      <c r="B3" s="21" t="s">
        <v>256</v>
      </c>
      <c r="C3" s="48" t="s">
        <v>79</v>
      </c>
      <c r="D3" s="21">
        <v>3</v>
      </c>
      <c r="E3" s="21">
        <v>1</v>
      </c>
      <c r="F3" s="21" t="s">
        <v>2</v>
      </c>
      <c r="G3" s="48" t="s">
        <v>257</v>
      </c>
      <c r="H3" s="21">
        <v>1</v>
      </c>
      <c r="I3" s="21">
        <v>1</v>
      </c>
      <c r="J3" s="58">
        <v>46273</v>
      </c>
      <c r="K3" s="58">
        <v>46279</v>
      </c>
      <c r="L3" s="21">
        <v>1</v>
      </c>
    </row>
    <row r="4" spans="1:12" x14ac:dyDescent="0.3">
      <c r="A4" s="21" t="s">
        <v>82</v>
      </c>
      <c r="B4" s="21" t="s">
        <v>256</v>
      </c>
      <c r="C4" s="48" t="s">
        <v>83</v>
      </c>
      <c r="D4" s="21">
        <v>3</v>
      </c>
      <c r="E4" s="21">
        <v>1</v>
      </c>
      <c r="F4" s="21" t="s">
        <v>2</v>
      </c>
      <c r="G4" s="48" t="s">
        <v>258</v>
      </c>
      <c r="H4" s="21">
        <v>1</v>
      </c>
      <c r="I4" s="21">
        <v>1</v>
      </c>
      <c r="J4" s="58">
        <v>46273</v>
      </c>
      <c r="K4" s="58">
        <v>46279</v>
      </c>
      <c r="L4" s="21">
        <v>1</v>
      </c>
    </row>
    <row r="5" spans="1:12" x14ac:dyDescent="0.3">
      <c r="A5" s="21" t="s">
        <v>84</v>
      </c>
      <c r="B5" s="21" t="s">
        <v>256</v>
      </c>
      <c r="C5" s="48" t="s">
        <v>85</v>
      </c>
      <c r="D5" s="21">
        <v>4</v>
      </c>
      <c r="E5" s="21">
        <v>1</v>
      </c>
      <c r="F5" s="21" t="s">
        <v>2</v>
      </c>
      <c r="G5" s="48" t="s">
        <v>259</v>
      </c>
      <c r="H5" s="21">
        <v>2</v>
      </c>
      <c r="I5" s="21">
        <v>2</v>
      </c>
      <c r="J5" s="58">
        <v>46280</v>
      </c>
      <c r="K5" s="58">
        <v>46286</v>
      </c>
      <c r="L5" s="21">
        <v>1</v>
      </c>
    </row>
    <row r="6" spans="1:12" x14ac:dyDescent="0.3">
      <c r="A6" s="21" t="s">
        <v>89</v>
      </c>
      <c r="B6" s="21" t="s">
        <v>256</v>
      </c>
      <c r="C6" s="48" t="s">
        <v>90</v>
      </c>
      <c r="D6" s="21">
        <v>3</v>
      </c>
      <c r="E6" s="21">
        <v>1</v>
      </c>
      <c r="F6" s="21" t="s">
        <v>2</v>
      </c>
      <c r="G6" s="48" t="s">
        <v>260</v>
      </c>
      <c r="H6" s="21">
        <v>2</v>
      </c>
      <c r="I6" s="21">
        <v>2</v>
      </c>
      <c r="J6" s="58">
        <v>46280</v>
      </c>
      <c r="K6" s="58">
        <v>46286</v>
      </c>
      <c r="L6" s="21">
        <v>1</v>
      </c>
    </row>
    <row r="7" spans="1:12" x14ac:dyDescent="0.3">
      <c r="A7" s="21" t="s">
        <v>91</v>
      </c>
      <c r="B7" s="21" t="s">
        <v>256</v>
      </c>
      <c r="C7" s="48" t="s">
        <v>92</v>
      </c>
      <c r="D7" s="21">
        <v>3</v>
      </c>
      <c r="E7" s="21">
        <v>1</v>
      </c>
      <c r="F7" s="21" t="s">
        <v>2</v>
      </c>
      <c r="G7" s="48" t="s">
        <v>261</v>
      </c>
      <c r="H7" s="21">
        <v>3</v>
      </c>
      <c r="I7" s="21">
        <v>3</v>
      </c>
      <c r="J7" s="58">
        <v>46287</v>
      </c>
      <c r="K7" s="58">
        <v>46293</v>
      </c>
      <c r="L7" s="21">
        <v>1</v>
      </c>
    </row>
    <row r="8" spans="1:12" x14ac:dyDescent="0.3">
      <c r="A8" s="21" t="s">
        <v>93</v>
      </c>
      <c r="B8" s="21" t="s">
        <v>256</v>
      </c>
      <c r="C8" s="48" t="s">
        <v>94</v>
      </c>
      <c r="D8" s="21">
        <v>2</v>
      </c>
      <c r="E8" s="21">
        <v>1</v>
      </c>
      <c r="F8" s="21" t="s">
        <v>2</v>
      </c>
      <c r="G8" s="48" t="s">
        <v>262</v>
      </c>
      <c r="H8" s="21">
        <v>3</v>
      </c>
      <c r="I8" s="21">
        <v>3</v>
      </c>
      <c r="J8" s="58">
        <v>46287</v>
      </c>
      <c r="K8" s="58">
        <v>46293</v>
      </c>
      <c r="L8" s="21">
        <v>1</v>
      </c>
    </row>
    <row r="9" spans="1:12" x14ac:dyDescent="0.3">
      <c r="A9" s="24" t="s">
        <v>50</v>
      </c>
      <c r="B9" s="24" t="s">
        <v>255</v>
      </c>
      <c r="C9" s="25" t="s">
        <v>95</v>
      </c>
      <c r="D9" s="24">
        <v>27</v>
      </c>
      <c r="E9" s="24">
        <v>2</v>
      </c>
      <c r="F9" s="24" t="s">
        <v>3</v>
      </c>
      <c r="G9" s="25" t="s">
        <v>226</v>
      </c>
      <c r="H9" s="24">
        <v>4</v>
      </c>
      <c r="I9" s="24">
        <v>7</v>
      </c>
      <c r="J9" s="59">
        <v>46294</v>
      </c>
      <c r="K9" s="59">
        <v>46321</v>
      </c>
      <c r="L9" s="24">
        <v>4</v>
      </c>
    </row>
    <row r="10" spans="1:12" x14ac:dyDescent="0.3">
      <c r="A10" s="21" t="s">
        <v>98</v>
      </c>
      <c r="B10" s="21" t="s">
        <v>256</v>
      </c>
      <c r="C10" s="48" t="s">
        <v>99</v>
      </c>
      <c r="D10" s="21">
        <v>5</v>
      </c>
      <c r="E10" s="21">
        <v>2</v>
      </c>
      <c r="F10" s="21" t="s">
        <v>3</v>
      </c>
      <c r="G10" s="48" t="s">
        <v>263</v>
      </c>
      <c r="H10" s="21">
        <v>4</v>
      </c>
      <c r="I10" s="21">
        <v>4</v>
      </c>
      <c r="J10" s="58">
        <v>46294</v>
      </c>
      <c r="K10" s="58">
        <v>46300</v>
      </c>
      <c r="L10" s="21">
        <v>1</v>
      </c>
    </row>
    <row r="11" spans="1:12" x14ac:dyDescent="0.3">
      <c r="A11" s="21" t="s">
        <v>102</v>
      </c>
      <c r="B11" s="21" t="s">
        <v>256</v>
      </c>
      <c r="C11" s="48" t="s">
        <v>103</v>
      </c>
      <c r="D11" s="21">
        <v>4</v>
      </c>
      <c r="E11" s="21">
        <v>2</v>
      </c>
      <c r="F11" s="21" t="s">
        <v>3</v>
      </c>
      <c r="G11" s="48" t="s">
        <v>264</v>
      </c>
      <c r="H11" s="21">
        <v>5</v>
      </c>
      <c r="I11" s="21">
        <v>5</v>
      </c>
      <c r="J11" s="58">
        <v>46301</v>
      </c>
      <c r="K11" s="58">
        <v>46307</v>
      </c>
      <c r="L11" s="21">
        <v>1</v>
      </c>
    </row>
    <row r="12" spans="1:12" x14ac:dyDescent="0.3">
      <c r="A12" s="21" t="s">
        <v>107</v>
      </c>
      <c r="B12" s="21" t="s">
        <v>256</v>
      </c>
      <c r="C12" s="48" t="s">
        <v>108</v>
      </c>
      <c r="D12" s="21">
        <v>4</v>
      </c>
      <c r="E12" s="21">
        <v>2</v>
      </c>
      <c r="F12" s="21" t="s">
        <v>3</v>
      </c>
      <c r="G12" s="48" t="s">
        <v>265</v>
      </c>
      <c r="H12" s="21">
        <v>6</v>
      </c>
      <c r="I12" s="21">
        <v>6</v>
      </c>
      <c r="J12" s="58">
        <v>46308</v>
      </c>
      <c r="K12" s="58">
        <v>46314</v>
      </c>
      <c r="L12" s="21">
        <v>1</v>
      </c>
    </row>
    <row r="13" spans="1:12" x14ac:dyDescent="0.3">
      <c r="A13" s="21" t="s">
        <v>112</v>
      </c>
      <c r="B13" s="21" t="s">
        <v>256</v>
      </c>
      <c r="C13" s="48" t="s">
        <v>113</v>
      </c>
      <c r="D13" s="21">
        <v>2</v>
      </c>
      <c r="E13" s="21">
        <v>2</v>
      </c>
      <c r="F13" s="21" t="s">
        <v>3</v>
      </c>
      <c r="G13" s="48" t="s">
        <v>266</v>
      </c>
      <c r="H13" s="21">
        <v>4</v>
      </c>
      <c r="I13" s="21">
        <v>4</v>
      </c>
      <c r="J13" s="58">
        <v>46294</v>
      </c>
      <c r="K13" s="58">
        <v>46300</v>
      </c>
      <c r="L13" s="21">
        <v>1</v>
      </c>
    </row>
    <row r="14" spans="1:12" x14ac:dyDescent="0.3">
      <c r="A14" s="21" t="s">
        <v>114</v>
      </c>
      <c r="B14" s="21" t="s">
        <v>256</v>
      </c>
      <c r="C14" s="48" t="s">
        <v>115</v>
      </c>
      <c r="D14" s="21">
        <v>3</v>
      </c>
      <c r="E14" s="21">
        <v>2</v>
      </c>
      <c r="F14" s="21" t="s">
        <v>3</v>
      </c>
      <c r="G14" s="48" t="s">
        <v>267</v>
      </c>
      <c r="H14" s="21">
        <v>5</v>
      </c>
      <c r="I14" s="21">
        <v>5</v>
      </c>
      <c r="J14" s="58">
        <v>46301</v>
      </c>
      <c r="K14" s="58">
        <v>46307</v>
      </c>
      <c r="L14" s="21">
        <v>1</v>
      </c>
    </row>
    <row r="15" spans="1:12" x14ac:dyDescent="0.3">
      <c r="A15" s="21" t="s">
        <v>116</v>
      </c>
      <c r="B15" s="21" t="s">
        <v>256</v>
      </c>
      <c r="C15" s="48" t="s">
        <v>117</v>
      </c>
      <c r="D15" s="21">
        <v>2</v>
      </c>
      <c r="E15" s="21">
        <v>2</v>
      </c>
      <c r="F15" s="21" t="s">
        <v>3</v>
      </c>
      <c r="G15" s="48" t="s">
        <v>268</v>
      </c>
      <c r="H15" s="21">
        <v>6</v>
      </c>
      <c r="I15" s="21">
        <v>6</v>
      </c>
      <c r="J15" s="58">
        <v>46308</v>
      </c>
      <c r="K15" s="58">
        <v>46314</v>
      </c>
      <c r="L15" s="21">
        <v>1</v>
      </c>
    </row>
    <row r="16" spans="1:12" x14ac:dyDescent="0.3">
      <c r="A16" s="21" t="s">
        <v>118</v>
      </c>
      <c r="B16" s="21" t="s">
        <v>256</v>
      </c>
      <c r="C16" s="48" t="s">
        <v>119</v>
      </c>
      <c r="D16" s="21">
        <v>2</v>
      </c>
      <c r="E16" s="21">
        <v>2</v>
      </c>
      <c r="F16" s="21" t="s">
        <v>3</v>
      </c>
      <c r="G16" s="48" t="s">
        <v>269</v>
      </c>
      <c r="H16" s="21">
        <v>7</v>
      </c>
      <c r="I16" s="21">
        <v>7</v>
      </c>
      <c r="J16" s="58">
        <v>46315</v>
      </c>
      <c r="K16" s="58">
        <v>46321</v>
      </c>
      <c r="L16" s="21">
        <v>1</v>
      </c>
    </row>
    <row r="17" spans="1:12" x14ac:dyDescent="0.3">
      <c r="A17" s="21" t="s">
        <v>120</v>
      </c>
      <c r="B17" s="21" t="s">
        <v>256</v>
      </c>
      <c r="C17" s="48" t="s">
        <v>121</v>
      </c>
      <c r="D17" s="21">
        <v>2</v>
      </c>
      <c r="E17" s="21">
        <v>2</v>
      </c>
      <c r="F17" s="21" t="s">
        <v>3</v>
      </c>
      <c r="G17" s="48" t="s">
        <v>270</v>
      </c>
      <c r="H17" s="21">
        <v>4</v>
      </c>
      <c r="I17" s="21">
        <v>4</v>
      </c>
      <c r="J17" s="58">
        <v>46294</v>
      </c>
      <c r="K17" s="58">
        <v>46300</v>
      </c>
      <c r="L17" s="21">
        <v>1</v>
      </c>
    </row>
    <row r="18" spans="1:12" x14ac:dyDescent="0.3">
      <c r="A18" s="21" t="s">
        <v>122</v>
      </c>
      <c r="B18" s="21" t="s">
        <v>256</v>
      </c>
      <c r="C18" s="48" t="s">
        <v>123</v>
      </c>
      <c r="D18" s="21">
        <v>1</v>
      </c>
      <c r="E18" s="21">
        <v>2</v>
      </c>
      <c r="F18" s="21" t="s">
        <v>3</v>
      </c>
      <c r="G18" s="48" t="s">
        <v>271</v>
      </c>
      <c r="H18" s="21">
        <v>6</v>
      </c>
      <c r="I18" s="21">
        <v>6</v>
      </c>
      <c r="J18" s="58">
        <v>46308</v>
      </c>
      <c r="K18" s="58">
        <v>46314</v>
      </c>
      <c r="L18" s="21">
        <v>1</v>
      </c>
    </row>
    <row r="19" spans="1:12" x14ac:dyDescent="0.3">
      <c r="A19" s="21" t="s">
        <v>124</v>
      </c>
      <c r="B19" s="21" t="s">
        <v>256</v>
      </c>
      <c r="C19" s="48" t="s">
        <v>125</v>
      </c>
      <c r="D19" s="21">
        <v>2</v>
      </c>
      <c r="E19" s="21">
        <v>2</v>
      </c>
      <c r="F19" s="21" t="s">
        <v>3</v>
      </c>
      <c r="G19" s="48" t="s">
        <v>272</v>
      </c>
      <c r="H19" s="21">
        <v>5</v>
      </c>
      <c r="I19" s="21">
        <v>5</v>
      </c>
      <c r="J19" s="58">
        <v>46301</v>
      </c>
      <c r="K19" s="58">
        <v>46307</v>
      </c>
      <c r="L19" s="21">
        <v>1</v>
      </c>
    </row>
    <row r="20" spans="1:12" x14ac:dyDescent="0.3">
      <c r="A20" s="21" t="s">
        <v>126</v>
      </c>
      <c r="B20" s="21" t="s">
        <v>256</v>
      </c>
      <c r="C20" s="48" t="s">
        <v>127</v>
      </c>
      <c r="D20" s="21">
        <v>2</v>
      </c>
      <c r="E20" s="21">
        <v>2</v>
      </c>
      <c r="F20" s="21" t="s">
        <v>3</v>
      </c>
      <c r="G20" s="48" t="s">
        <v>273</v>
      </c>
      <c r="H20" s="21">
        <v>7</v>
      </c>
      <c r="I20" s="21">
        <v>7</v>
      </c>
      <c r="J20" s="58">
        <v>46315</v>
      </c>
      <c r="K20" s="58">
        <v>46321</v>
      </c>
      <c r="L20" s="21">
        <v>1</v>
      </c>
    </row>
    <row r="21" spans="1:12" x14ac:dyDescent="0.3">
      <c r="A21" s="28" t="s">
        <v>56</v>
      </c>
      <c r="B21" s="28" t="s">
        <v>255</v>
      </c>
      <c r="C21" s="29" t="s">
        <v>128</v>
      </c>
      <c r="D21" s="28">
        <v>35</v>
      </c>
      <c r="E21" s="28">
        <v>3</v>
      </c>
      <c r="F21" s="28" t="s">
        <v>4</v>
      </c>
      <c r="G21" s="29" t="s">
        <v>229</v>
      </c>
      <c r="H21" s="28">
        <v>8</v>
      </c>
      <c r="I21" s="28">
        <v>12</v>
      </c>
      <c r="J21" s="60">
        <v>46322</v>
      </c>
      <c r="K21" s="60">
        <v>46356</v>
      </c>
      <c r="L21" s="28">
        <v>5</v>
      </c>
    </row>
    <row r="22" spans="1:12" x14ac:dyDescent="0.3">
      <c r="A22" s="21" t="s">
        <v>131</v>
      </c>
      <c r="B22" s="21" t="s">
        <v>256</v>
      </c>
      <c r="C22" s="48" t="s">
        <v>132</v>
      </c>
      <c r="D22" s="21">
        <v>4</v>
      </c>
      <c r="E22" s="21">
        <v>3</v>
      </c>
      <c r="F22" s="21" t="s">
        <v>4</v>
      </c>
      <c r="G22" s="48" t="s">
        <v>274</v>
      </c>
      <c r="H22" s="21">
        <v>8</v>
      </c>
      <c r="I22" s="21">
        <v>8</v>
      </c>
      <c r="J22" s="58">
        <v>46322</v>
      </c>
      <c r="K22" s="58">
        <v>46328</v>
      </c>
      <c r="L22" s="21">
        <v>1</v>
      </c>
    </row>
    <row r="23" spans="1:12" x14ac:dyDescent="0.3">
      <c r="A23" s="21" t="s">
        <v>135</v>
      </c>
      <c r="B23" s="21" t="s">
        <v>256</v>
      </c>
      <c r="C23" s="48" t="s">
        <v>136</v>
      </c>
      <c r="D23" s="21">
        <v>6</v>
      </c>
      <c r="E23" s="21">
        <v>3</v>
      </c>
      <c r="F23" s="21" t="s">
        <v>4</v>
      </c>
      <c r="G23" s="48" t="s">
        <v>275</v>
      </c>
      <c r="H23" s="21">
        <v>8</v>
      </c>
      <c r="I23" s="21">
        <v>8</v>
      </c>
      <c r="J23" s="58">
        <v>46322</v>
      </c>
      <c r="K23" s="58">
        <v>46328</v>
      </c>
      <c r="L23" s="21">
        <v>1</v>
      </c>
    </row>
    <row r="24" spans="1:12" x14ac:dyDescent="0.3">
      <c r="A24" s="21" t="s">
        <v>137</v>
      </c>
      <c r="B24" s="21" t="s">
        <v>256</v>
      </c>
      <c r="C24" s="48" t="s">
        <v>138</v>
      </c>
      <c r="D24" s="21">
        <v>4</v>
      </c>
      <c r="E24" s="21">
        <v>3</v>
      </c>
      <c r="F24" s="21" t="s">
        <v>4</v>
      </c>
      <c r="G24" s="48" t="s">
        <v>276</v>
      </c>
      <c r="H24" s="21">
        <v>9</v>
      </c>
      <c r="I24" s="21">
        <v>9</v>
      </c>
      <c r="J24" s="58">
        <v>46329</v>
      </c>
      <c r="K24" s="58">
        <v>46335</v>
      </c>
      <c r="L24" s="21">
        <v>1</v>
      </c>
    </row>
    <row r="25" spans="1:12" x14ac:dyDescent="0.3">
      <c r="A25" s="21" t="s">
        <v>142</v>
      </c>
      <c r="B25" s="21" t="s">
        <v>256</v>
      </c>
      <c r="C25" s="48" t="s">
        <v>143</v>
      </c>
      <c r="D25" s="21">
        <v>4</v>
      </c>
      <c r="E25" s="21">
        <v>3</v>
      </c>
      <c r="F25" s="21" t="s">
        <v>4</v>
      </c>
      <c r="G25" s="48" t="s">
        <v>277</v>
      </c>
      <c r="H25" s="21">
        <v>10</v>
      </c>
      <c r="I25" s="21">
        <v>10</v>
      </c>
      <c r="J25" s="58">
        <v>46336</v>
      </c>
      <c r="K25" s="58">
        <v>46342</v>
      </c>
      <c r="L25" s="21">
        <v>1</v>
      </c>
    </row>
    <row r="26" spans="1:12" x14ac:dyDescent="0.3">
      <c r="A26" s="21" t="s">
        <v>147</v>
      </c>
      <c r="B26" s="21" t="s">
        <v>256</v>
      </c>
      <c r="C26" s="48" t="s">
        <v>148</v>
      </c>
      <c r="D26" s="21">
        <v>3</v>
      </c>
      <c r="E26" s="21">
        <v>3</v>
      </c>
      <c r="F26" s="21" t="s">
        <v>4</v>
      </c>
      <c r="G26" s="48" t="s">
        <v>278</v>
      </c>
      <c r="H26" s="21">
        <v>10</v>
      </c>
      <c r="I26" s="21">
        <v>10</v>
      </c>
      <c r="J26" s="58">
        <v>46336</v>
      </c>
      <c r="K26" s="58">
        <v>46342</v>
      </c>
      <c r="L26" s="21">
        <v>1</v>
      </c>
    </row>
    <row r="27" spans="1:12" x14ac:dyDescent="0.3">
      <c r="A27" s="21" t="s">
        <v>149</v>
      </c>
      <c r="B27" s="21" t="s">
        <v>256</v>
      </c>
      <c r="C27" s="48" t="s">
        <v>150</v>
      </c>
      <c r="D27" s="21">
        <v>4</v>
      </c>
      <c r="E27" s="21">
        <v>3</v>
      </c>
      <c r="F27" s="21" t="s">
        <v>4</v>
      </c>
      <c r="G27" s="48" t="s">
        <v>279</v>
      </c>
      <c r="H27" s="21">
        <v>11</v>
      </c>
      <c r="I27" s="21">
        <v>11</v>
      </c>
      <c r="J27" s="58">
        <v>46343</v>
      </c>
      <c r="K27" s="58">
        <v>46349</v>
      </c>
      <c r="L27" s="21">
        <v>1</v>
      </c>
    </row>
    <row r="28" spans="1:12" x14ac:dyDescent="0.3">
      <c r="A28" s="21" t="s">
        <v>154</v>
      </c>
      <c r="B28" s="21" t="s">
        <v>256</v>
      </c>
      <c r="C28" s="48" t="s">
        <v>155</v>
      </c>
      <c r="D28" s="21">
        <v>4</v>
      </c>
      <c r="E28" s="21">
        <v>3</v>
      </c>
      <c r="F28" s="21" t="s">
        <v>4</v>
      </c>
      <c r="G28" s="48" t="s">
        <v>280</v>
      </c>
      <c r="H28" s="21">
        <v>8</v>
      </c>
      <c r="I28" s="21">
        <v>8</v>
      </c>
      <c r="J28" s="58">
        <v>46322</v>
      </c>
      <c r="K28" s="58">
        <v>46328</v>
      </c>
      <c r="L28" s="21">
        <v>1</v>
      </c>
    </row>
    <row r="29" spans="1:12" x14ac:dyDescent="0.3">
      <c r="A29" s="21" t="s">
        <v>156</v>
      </c>
      <c r="B29" s="21" t="s">
        <v>256</v>
      </c>
      <c r="C29" s="48" t="s">
        <v>157</v>
      </c>
      <c r="D29" s="21">
        <v>2</v>
      </c>
      <c r="E29" s="21">
        <v>3</v>
      </c>
      <c r="F29" s="21" t="s">
        <v>4</v>
      </c>
      <c r="G29" s="48" t="s">
        <v>281</v>
      </c>
      <c r="H29" s="21">
        <v>9</v>
      </c>
      <c r="I29" s="21">
        <v>9</v>
      </c>
      <c r="J29" s="58">
        <v>46329</v>
      </c>
      <c r="K29" s="58">
        <v>46335</v>
      </c>
      <c r="L29" s="21">
        <v>1</v>
      </c>
    </row>
    <row r="30" spans="1:12" x14ac:dyDescent="0.3">
      <c r="A30" s="21" t="s">
        <v>158</v>
      </c>
      <c r="B30" s="21" t="s">
        <v>256</v>
      </c>
      <c r="C30" s="48" t="s">
        <v>159</v>
      </c>
      <c r="D30" s="21">
        <v>4</v>
      </c>
      <c r="E30" s="21">
        <v>3</v>
      </c>
      <c r="F30" s="21" t="s">
        <v>4</v>
      </c>
      <c r="G30" s="48" t="s">
        <v>282</v>
      </c>
      <c r="H30" s="21">
        <v>12</v>
      </c>
      <c r="I30" s="21">
        <v>12</v>
      </c>
      <c r="J30" s="58">
        <v>46350</v>
      </c>
      <c r="K30" s="58">
        <v>46356</v>
      </c>
      <c r="L30" s="21">
        <v>1</v>
      </c>
    </row>
    <row r="31" spans="1:12" x14ac:dyDescent="0.3">
      <c r="A31" s="32" t="s">
        <v>160</v>
      </c>
      <c r="B31" s="32" t="s">
        <v>255</v>
      </c>
      <c r="C31" s="33" t="s">
        <v>161</v>
      </c>
      <c r="D31" s="32">
        <v>15</v>
      </c>
      <c r="E31" s="32">
        <v>4</v>
      </c>
      <c r="F31" s="32" t="s">
        <v>230</v>
      </c>
      <c r="G31" s="33" t="s">
        <v>283</v>
      </c>
      <c r="H31" s="32">
        <v>13</v>
      </c>
      <c r="I31" s="32">
        <v>16</v>
      </c>
      <c r="J31" s="61">
        <v>46357</v>
      </c>
      <c r="K31" s="61">
        <v>46384</v>
      </c>
      <c r="L31" s="32">
        <v>4</v>
      </c>
    </row>
    <row r="32" spans="1:12" x14ac:dyDescent="0.3">
      <c r="A32" s="21" t="s">
        <v>164</v>
      </c>
      <c r="B32" s="21" t="s">
        <v>256</v>
      </c>
      <c r="C32" s="48" t="s">
        <v>165</v>
      </c>
      <c r="D32" s="21">
        <v>2</v>
      </c>
      <c r="E32" s="21">
        <v>4</v>
      </c>
      <c r="F32" s="21" t="s">
        <v>230</v>
      </c>
      <c r="G32" s="48" t="s">
        <v>284</v>
      </c>
      <c r="H32" s="21">
        <v>13</v>
      </c>
      <c r="I32" s="21">
        <v>13</v>
      </c>
      <c r="J32" s="58">
        <v>46357</v>
      </c>
      <c r="K32" s="58">
        <v>46363</v>
      </c>
      <c r="L32" s="21">
        <v>1</v>
      </c>
    </row>
    <row r="33" spans="1:12" x14ac:dyDescent="0.3">
      <c r="A33" s="21" t="s">
        <v>168</v>
      </c>
      <c r="B33" s="21" t="s">
        <v>256</v>
      </c>
      <c r="C33" s="48" t="s">
        <v>169</v>
      </c>
      <c r="D33" s="21">
        <v>3</v>
      </c>
      <c r="E33" s="21">
        <v>4</v>
      </c>
      <c r="F33" s="21" t="s">
        <v>230</v>
      </c>
      <c r="G33" s="48" t="s">
        <v>285</v>
      </c>
      <c r="H33" s="21">
        <v>14</v>
      </c>
      <c r="I33" s="21">
        <v>14</v>
      </c>
      <c r="J33" s="58">
        <v>46364</v>
      </c>
      <c r="K33" s="58">
        <v>46370</v>
      </c>
      <c r="L33" s="21">
        <v>1</v>
      </c>
    </row>
    <row r="34" spans="1:12" x14ac:dyDescent="0.3">
      <c r="A34" s="21" t="s">
        <v>173</v>
      </c>
      <c r="B34" s="21" t="s">
        <v>256</v>
      </c>
      <c r="C34" s="48" t="s">
        <v>174</v>
      </c>
      <c r="D34" s="21">
        <v>2</v>
      </c>
      <c r="E34" s="21">
        <v>4</v>
      </c>
      <c r="F34" s="21" t="s">
        <v>230</v>
      </c>
      <c r="G34" s="48" t="s">
        <v>286</v>
      </c>
      <c r="H34" s="21">
        <v>15</v>
      </c>
      <c r="I34" s="21">
        <v>15</v>
      </c>
      <c r="J34" s="58">
        <v>46371</v>
      </c>
      <c r="K34" s="58">
        <v>46377</v>
      </c>
      <c r="L34" s="21">
        <v>1</v>
      </c>
    </row>
    <row r="35" spans="1:12" x14ac:dyDescent="0.3">
      <c r="A35" s="21" t="s">
        <v>178</v>
      </c>
      <c r="B35" s="21" t="s">
        <v>256</v>
      </c>
      <c r="C35" s="48" t="s">
        <v>179</v>
      </c>
      <c r="D35" s="21">
        <v>3</v>
      </c>
      <c r="E35" s="21">
        <v>4</v>
      </c>
      <c r="F35" s="21" t="s">
        <v>230</v>
      </c>
      <c r="G35" s="48" t="s">
        <v>287</v>
      </c>
      <c r="H35" s="21">
        <v>16</v>
      </c>
      <c r="I35" s="21">
        <v>16</v>
      </c>
      <c r="J35" s="58">
        <v>46378</v>
      </c>
      <c r="K35" s="58">
        <v>46384</v>
      </c>
      <c r="L35" s="21">
        <v>1</v>
      </c>
    </row>
    <row r="36" spans="1:12" x14ac:dyDescent="0.3">
      <c r="A36" s="21" t="s">
        <v>180</v>
      </c>
      <c r="B36" s="21" t="s">
        <v>256</v>
      </c>
      <c r="C36" s="48" t="s">
        <v>181</v>
      </c>
      <c r="D36" s="21">
        <v>2</v>
      </c>
      <c r="E36" s="21">
        <v>4</v>
      </c>
      <c r="F36" s="21" t="s">
        <v>230</v>
      </c>
      <c r="G36" s="48" t="s">
        <v>288</v>
      </c>
      <c r="H36" s="21">
        <v>15</v>
      </c>
      <c r="I36" s="21">
        <v>15</v>
      </c>
      <c r="J36" s="58">
        <v>46371</v>
      </c>
      <c r="K36" s="58">
        <v>46377</v>
      </c>
      <c r="L36" s="21">
        <v>1</v>
      </c>
    </row>
    <row r="37" spans="1:12" x14ac:dyDescent="0.3">
      <c r="A37" s="21" t="s">
        <v>182</v>
      </c>
      <c r="B37" s="21" t="s">
        <v>256</v>
      </c>
      <c r="C37" s="48" t="s">
        <v>183</v>
      </c>
      <c r="D37" s="21">
        <v>1</v>
      </c>
      <c r="E37" s="21">
        <v>4</v>
      </c>
      <c r="F37" s="21" t="s">
        <v>230</v>
      </c>
      <c r="G37" s="48" t="s">
        <v>289</v>
      </c>
      <c r="H37" s="21">
        <v>15</v>
      </c>
      <c r="I37" s="21">
        <v>15</v>
      </c>
      <c r="J37" s="58">
        <v>46371</v>
      </c>
      <c r="K37" s="58">
        <v>46377</v>
      </c>
      <c r="L37" s="21">
        <v>1</v>
      </c>
    </row>
    <row r="38" spans="1:12" x14ac:dyDescent="0.3">
      <c r="A38" s="21" t="s">
        <v>184</v>
      </c>
      <c r="B38" s="21" t="s">
        <v>256</v>
      </c>
      <c r="C38" s="48" t="s">
        <v>185</v>
      </c>
      <c r="D38" s="21">
        <v>2</v>
      </c>
      <c r="E38" s="21">
        <v>4</v>
      </c>
      <c r="F38" s="21" t="s">
        <v>230</v>
      </c>
      <c r="G38" s="48" t="s">
        <v>290</v>
      </c>
      <c r="H38" s="21">
        <v>16</v>
      </c>
      <c r="I38" s="21">
        <v>16</v>
      </c>
      <c r="J38" s="58">
        <v>46378</v>
      </c>
      <c r="K38" s="58">
        <v>46384</v>
      </c>
      <c r="L38" s="21">
        <v>1</v>
      </c>
    </row>
    <row r="39" spans="1:12" x14ac:dyDescent="0.3">
      <c r="A39" s="32" t="s">
        <v>186</v>
      </c>
      <c r="B39" s="32" t="s">
        <v>255</v>
      </c>
      <c r="C39" s="33" t="s">
        <v>187</v>
      </c>
      <c r="D39" s="32">
        <v>5</v>
      </c>
      <c r="E39" s="32">
        <v>4</v>
      </c>
      <c r="F39" s="32" t="s">
        <v>291</v>
      </c>
      <c r="G39" s="33" t="s">
        <v>292</v>
      </c>
      <c r="H39" s="32">
        <v>16</v>
      </c>
      <c r="I39" s="32">
        <v>24</v>
      </c>
      <c r="J39" s="61">
        <v>46378</v>
      </c>
      <c r="K39" s="61">
        <v>46440</v>
      </c>
      <c r="L39" s="32">
        <v>4</v>
      </c>
    </row>
    <row r="40" spans="1:12" x14ac:dyDescent="0.3">
      <c r="A40" s="21" t="s">
        <v>190</v>
      </c>
      <c r="B40" s="21" t="s">
        <v>256</v>
      </c>
      <c r="C40" s="48" t="s">
        <v>191</v>
      </c>
      <c r="D40" s="21">
        <v>2</v>
      </c>
      <c r="E40" s="21">
        <v>4</v>
      </c>
      <c r="F40" s="21" t="s">
        <v>230</v>
      </c>
      <c r="G40" s="48" t="s">
        <v>293</v>
      </c>
      <c r="H40" s="21">
        <v>16</v>
      </c>
      <c r="I40" s="21">
        <v>16</v>
      </c>
      <c r="J40" s="58">
        <v>46378</v>
      </c>
      <c r="K40" s="58">
        <v>46384</v>
      </c>
      <c r="L40" s="21">
        <v>1</v>
      </c>
    </row>
    <row r="41" spans="1:12" x14ac:dyDescent="0.3">
      <c r="A41" s="21" t="s">
        <v>192</v>
      </c>
      <c r="B41" s="21" t="s">
        <v>256</v>
      </c>
      <c r="C41" s="48" t="s">
        <v>193</v>
      </c>
      <c r="D41" s="21">
        <v>1</v>
      </c>
      <c r="E41" s="21">
        <v>4</v>
      </c>
      <c r="F41" s="21" t="s">
        <v>234</v>
      </c>
      <c r="G41" s="48" t="s">
        <v>294</v>
      </c>
      <c r="H41" s="21">
        <v>22</v>
      </c>
      <c r="I41" s="21">
        <v>22</v>
      </c>
      <c r="J41" s="58">
        <v>46420</v>
      </c>
      <c r="K41" s="58">
        <v>46426</v>
      </c>
      <c r="L41" s="21">
        <v>1</v>
      </c>
    </row>
    <row r="42" spans="1:12" x14ac:dyDescent="0.3">
      <c r="A42" s="21" t="s">
        <v>197</v>
      </c>
      <c r="B42" s="21" t="s">
        <v>256</v>
      </c>
      <c r="C42" s="48" t="s">
        <v>198</v>
      </c>
      <c r="D42" s="21">
        <v>1</v>
      </c>
      <c r="E42" s="21">
        <v>4</v>
      </c>
      <c r="F42" s="21" t="s">
        <v>234</v>
      </c>
      <c r="G42" s="48" t="s">
        <v>295</v>
      </c>
      <c r="H42" s="21">
        <v>23</v>
      </c>
      <c r="I42" s="21">
        <v>23</v>
      </c>
      <c r="J42" s="58">
        <v>46427</v>
      </c>
      <c r="K42" s="58">
        <v>46433</v>
      </c>
      <c r="L42" s="21">
        <v>1</v>
      </c>
    </row>
    <row r="43" spans="1:12" x14ac:dyDescent="0.3">
      <c r="A43" s="21" t="s">
        <v>202</v>
      </c>
      <c r="B43" s="21" t="s">
        <v>256</v>
      </c>
      <c r="C43" s="48" t="s">
        <v>203</v>
      </c>
      <c r="D43" s="21">
        <v>1</v>
      </c>
      <c r="E43" s="21">
        <v>4</v>
      </c>
      <c r="F43" s="21" t="s">
        <v>234</v>
      </c>
      <c r="G43" s="48" t="s">
        <v>296</v>
      </c>
      <c r="H43" s="21">
        <v>24</v>
      </c>
      <c r="I43" s="21">
        <v>24</v>
      </c>
      <c r="J43" s="58">
        <v>46434</v>
      </c>
      <c r="K43" s="58">
        <v>46440</v>
      </c>
      <c r="L43" s="21">
        <v>1</v>
      </c>
    </row>
  </sheetData>
  <autoFilter ref="A1:L43" xr:uid="{00000000-0009-0000-0000-000002000000}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Gantt Chart</vt:lpstr>
      <vt:lpstr>สรุปงวดส่งมอบ</vt:lpstr>
      <vt:lpstr>ข้อมูล WBS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POSCHANAN SRITHAMMA</cp:lastModifiedBy>
  <cp:revision>0</cp:revision>
  <dcterms:created xsi:type="dcterms:W3CDTF">2026-09-21T07:54:41Z</dcterms:created>
  <dcterms:modified xsi:type="dcterms:W3CDTF">2026-09-21T07:59:31Z</dcterms:modified>
  <dc:language>en-US</dc:language>
</cp:coreProperties>
</file>